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mjeulr\Documents\Nettside_PF\Investorside\"/>
    </mc:Choice>
  </mc:AlternateContent>
  <xr:revisionPtr revIDLastSave="0" documentId="13_ncr:1_{56AF9993-AAC3-4B08-8E22-758B6FF94A98}" xr6:coauthVersionLast="47" xr6:coauthVersionMax="47" xr10:uidLastSave="{00000000-0000-0000-0000-000000000000}"/>
  <bookViews>
    <workbookView xWindow="210" yWindow="15" windowWidth="28770" windowHeight="17250" xr2:uid="{61E2D0DF-D767-460F-BF54-4538FD1817BE}"/>
  </bookViews>
  <sheets>
    <sheet name="ModPort" sheetId="1" r:id="rId1"/>
    <sheet name="port_time_series" sheetId="12" r:id="rId2"/>
    <sheet name="NHY" sheetId="3" r:id="rId3"/>
    <sheet name="EQNR" sheetId="15" r:id="rId4"/>
    <sheet name="CRAYN" sheetId="16" r:id="rId5"/>
    <sheet name="DNB" sheetId="14" r:id="rId6"/>
    <sheet name="SVEG" sheetId="17" r:id="rId7"/>
    <sheet name="TGS" sheetId="18" r:id="rId8"/>
    <sheet name="KOG" sheetId="19" r:id="rId9"/>
    <sheet name="SCATC" sheetId="20" r:id="rId10"/>
    <sheet name="SALM" sheetId="21" r:id="rId11"/>
    <sheet name="HAFNI" sheetId="22" r:id="rId12"/>
  </sheets>
  <definedNames>
    <definedName name="end">port_time_series!$F$2</definedName>
    <definedName name="ënd">port_time_series!$F$2</definedName>
    <definedName name="nhy_daily" localSheetId="4">_xlfn.STOCKHISTORY(CRAYN!$C$27,DATE(2023,12,29),TODAY(),0,0,0,1)</definedName>
    <definedName name="nhy_daily" localSheetId="5">_xlfn.STOCKHISTORY(DNB!$C$27,DATE(2023,12,29),TODAY(),0,0,0,1)</definedName>
    <definedName name="nhy_daily" localSheetId="3">_xlfn.STOCKHISTORY(EQNR!$C$27,DATE(2023,12,29),TODAY(),0,0,0,1)</definedName>
    <definedName name="nhy_daily" localSheetId="11">_xlfn.STOCKHISTORY(HAFNI!$C$27,DATE(2023,12,29),TODAY(),0,0,0,1)</definedName>
    <definedName name="nhy_daily" localSheetId="8">_xlfn.STOCKHISTORY(KOG!$C$27,DATE(2023,12,29),TODAY(),0,0,0,1)</definedName>
    <definedName name="nhy_daily" localSheetId="10">_xlfn.STOCKHISTORY(SALM!$C$27,DATE(2023,12,29),TODAY(),0,0,0,1)</definedName>
    <definedName name="nhy_daily" localSheetId="9">_xlfn.STOCKHISTORY(SCATC!$C$27,DATE(2023,12,29),TODAY(),0,0,0,1)</definedName>
    <definedName name="nhy_daily" localSheetId="6">_xlfn.STOCKHISTORY(SVEG!$C$27,DATE(2023,12,29),TODAY(),0,0,0,1)</definedName>
    <definedName name="nhy_daily" localSheetId="7">_xlfn.STOCKHISTORY(TGS!$C$27,DATE(2023,12,29),TODAY(),0,0,0,1)</definedName>
    <definedName name="nhy_daily">_xlfn.STOCKHISTORY(NHY!$C$27,DATE(2023,12,29),TODAY(),0,0,0,1)</definedName>
    <definedName name="NHY_daily_price_YTD_24" localSheetId="4">_xlfn.STOCKHISTORY(CRAYN!$XEV$38,DATE(2023,12,29),TODAY(),0,0,0,1)</definedName>
    <definedName name="NHY_daily_price_YTD_24" localSheetId="5">_xlfn.STOCKHISTORY(DNB!$XEV$38,DATE(2023,12,29),TODAY(),0,0,0,1)</definedName>
    <definedName name="NHY_daily_price_YTD_24" localSheetId="3">_xlfn.STOCKHISTORY(EQNR!$XEV$38,DATE(2023,12,29),TODAY(),0,0,0,1)</definedName>
    <definedName name="NHY_daily_price_YTD_24" localSheetId="11">_xlfn.STOCKHISTORY(HAFNI!$XEV$38,DATE(2023,12,29),TODAY(),0,0,0,1)</definedName>
    <definedName name="NHY_daily_price_YTD_24" localSheetId="8">_xlfn.STOCKHISTORY(KOG!$XEV$38,DATE(2023,12,29),TODAY(),0,0,0,1)</definedName>
    <definedName name="NHY_daily_price_YTD_24" localSheetId="10">_xlfn.STOCKHISTORY(SALM!$XEV$38,DATE(2023,12,29),TODAY(),0,0,0,1)</definedName>
    <definedName name="NHY_daily_price_YTD_24" localSheetId="9">_xlfn.STOCKHISTORY(SCATC!$XEV$38,DATE(2023,12,29),TODAY(),0,0,0,1)</definedName>
    <definedName name="NHY_daily_price_YTD_24" localSheetId="6">_xlfn.STOCKHISTORY(SVEG!$XEV$38,DATE(2023,12,29),TODAY(),0,0,0,1)</definedName>
    <definedName name="NHY_daily_price_YTD_24" localSheetId="7">_xlfn.STOCKHISTORY(TGS!$XEV$38,DATE(2023,12,29),TODAY(),0,0,0,1)</definedName>
    <definedName name="NHY_daily_price_YTD_24">_xlfn.STOCKHISTORY(NHY!$XEV$38,DATE(2023,12,29),TODAY(),0,0,0,1)</definedName>
    <definedName name="start">port_time_series!$E$2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12" l="1"/>
  <c r="E2" i="12"/>
  <c r="J205" i="12"/>
  <c r="J206" i="12" s="1"/>
  <c r="J207" i="12" s="1"/>
  <c r="J208" i="12" s="1"/>
  <c r="J209" i="12" s="1"/>
  <c r="J210" i="12" s="1"/>
  <c r="J211" i="12" s="1"/>
  <c r="J212" i="12" s="1"/>
  <c r="J213" i="12" s="1"/>
  <c r="J214" i="12" s="1"/>
  <c r="J215" i="12" s="1"/>
  <c r="J216" i="12" s="1"/>
  <c r="J217" i="12" s="1"/>
  <c r="J218" i="12" s="1"/>
  <c r="J219" i="12" s="1"/>
  <c r="J220" i="12" s="1"/>
  <c r="J221" i="12" s="1"/>
  <c r="J222" i="12" s="1"/>
  <c r="J223" i="12" s="1"/>
  <c r="J224" i="12" s="1"/>
  <c r="J225" i="12" s="1"/>
  <c r="J226" i="12" s="1"/>
  <c r="J227" i="12" s="1"/>
  <c r="J228" i="12" s="1"/>
  <c r="J229" i="12" s="1"/>
  <c r="J230" i="12" s="1"/>
  <c r="J231" i="12" s="1"/>
  <c r="J170" i="12"/>
  <c r="J171" i="12" s="1"/>
  <c r="J172" i="12" s="1"/>
  <c r="J173" i="12" s="1"/>
  <c r="J174" i="12" s="1"/>
  <c r="J175" i="12" s="1"/>
  <c r="J176" i="12" s="1"/>
  <c r="J177" i="12" s="1"/>
  <c r="J178" i="12" s="1"/>
  <c r="J179" i="12" s="1"/>
  <c r="J180" i="12" s="1"/>
  <c r="J181" i="12" s="1"/>
  <c r="J182" i="12" s="1"/>
  <c r="J183" i="12" s="1"/>
  <c r="J184" i="12" s="1"/>
  <c r="J185" i="12" s="1"/>
  <c r="J186" i="12" s="1"/>
  <c r="J187" i="12" s="1"/>
  <c r="J188" i="12" s="1"/>
  <c r="J189" i="12" s="1"/>
  <c r="J190" i="12" s="1"/>
  <c r="J191" i="12" s="1"/>
  <c r="J192" i="12" s="1"/>
  <c r="J193" i="12" s="1"/>
  <c r="J194" i="12" s="1"/>
  <c r="J195" i="12" s="1"/>
  <c r="J196" i="12" s="1"/>
  <c r="J197" i="12" s="1"/>
  <c r="J198" i="12" s="1"/>
  <c r="J199" i="12" s="1"/>
  <c r="J200" i="12" s="1"/>
  <c r="J201" i="12" s="1"/>
  <c r="J202" i="12" s="1"/>
  <c r="J203" i="12" s="1"/>
  <c r="J204" i="12" s="1"/>
  <c r="J118" i="12"/>
  <c r="J119" i="12" s="1"/>
  <c r="J120" i="12" s="1"/>
  <c r="J121" i="12" s="1"/>
  <c r="J122" i="12" s="1"/>
  <c r="J123" i="12" s="1"/>
  <c r="J124" i="12" s="1"/>
  <c r="J125" i="12" s="1"/>
  <c r="J126" i="12" s="1"/>
  <c r="J127" i="12" s="1"/>
  <c r="J128" i="12" s="1"/>
  <c r="J129" i="12" s="1"/>
  <c r="J130" i="12" s="1"/>
  <c r="J131" i="12" s="1"/>
  <c r="J132" i="12" s="1"/>
  <c r="J133" i="12" s="1"/>
  <c r="J134" i="12" s="1"/>
  <c r="J135" i="12" s="1"/>
  <c r="J136" i="12" s="1"/>
  <c r="J137" i="12" s="1"/>
  <c r="J138" i="12" s="1"/>
  <c r="J139" i="12" s="1"/>
  <c r="J140" i="12" s="1"/>
  <c r="J141" i="12" s="1"/>
  <c r="J142" i="12" s="1"/>
  <c r="J143" i="12" s="1"/>
  <c r="J144" i="12" s="1"/>
  <c r="J145" i="12" s="1"/>
  <c r="J146" i="12" s="1"/>
  <c r="J147" i="12" s="1"/>
  <c r="J148" i="12" s="1"/>
  <c r="J149" i="12" s="1"/>
  <c r="J150" i="12" s="1"/>
  <c r="J151" i="12" s="1"/>
  <c r="J152" i="12" s="1"/>
  <c r="J153" i="12" s="1"/>
  <c r="J154" i="12" s="1"/>
  <c r="J155" i="12" s="1"/>
  <c r="J156" i="12" s="1"/>
  <c r="J157" i="12" s="1"/>
  <c r="J158" i="12" s="1"/>
  <c r="J159" i="12" s="1"/>
  <c r="J160" i="12" s="1"/>
  <c r="J161" i="12" s="1"/>
  <c r="J162" i="12" s="1"/>
  <c r="J163" i="12" s="1"/>
  <c r="J164" i="12" s="1"/>
  <c r="J165" i="12" s="1"/>
  <c r="J166" i="12" s="1"/>
  <c r="J167" i="12" s="1"/>
  <c r="J168" i="12" s="1"/>
  <c r="J169" i="12" s="1"/>
  <c r="J62" i="12"/>
  <c r="J63" i="12" s="1"/>
  <c r="J64" i="12" s="1"/>
  <c r="J65" i="12" s="1"/>
  <c r="J66" i="12" s="1"/>
  <c r="J67" i="12" s="1"/>
  <c r="J68" i="12" s="1"/>
  <c r="J69" i="12" s="1"/>
  <c r="J70" i="12" s="1"/>
  <c r="J71" i="12" s="1"/>
  <c r="J72" i="12" s="1"/>
  <c r="J73" i="12" s="1"/>
  <c r="J74" i="12" s="1"/>
  <c r="J75" i="12" s="1"/>
  <c r="J76" i="12" s="1"/>
  <c r="J77" i="12" s="1"/>
  <c r="J78" i="12" s="1"/>
  <c r="J79" i="12" s="1"/>
  <c r="J80" i="12" s="1"/>
  <c r="J81" i="12" s="1"/>
  <c r="J82" i="12" s="1"/>
  <c r="J83" i="12" s="1"/>
  <c r="J84" i="12" s="1"/>
  <c r="J85" i="12" s="1"/>
  <c r="J86" i="12" s="1"/>
  <c r="J87" i="12" s="1"/>
  <c r="J88" i="12" s="1"/>
  <c r="J89" i="12" s="1"/>
  <c r="J90" i="12" s="1"/>
  <c r="J91" i="12" s="1"/>
  <c r="J92" i="12" s="1"/>
  <c r="J93" i="12" s="1"/>
  <c r="J94" i="12" s="1"/>
  <c r="J95" i="12" s="1"/>
  <c r="J96" i="12" s="1"/>
  <c r="J97" i="12" s="1"/>
  <c r="J98" i="12" s="1"/>
  <c r="J99" i="12" s="1"/>
  <c r="J100" i="12" s="1"/>
  <c r="J101" i="12" s="1"/>
  <c r="J102" i="12" s="1"/>
  <c r="J103" i="12" s="1"/>
  <c r="J104" i="12" s="1"/>
  <c r="J105" i="12" s="1"/>
  <c r="J106" i="12" s="1"/>
  <c r="J107" i="12" s="1"/>
  <c r="J108" i="12" s="1"/>
  <c r="J109" i="12" s="1"/>
  <c r="J110" i="12" s="1"/>
  <c r="J111" i="12" s="1"/>
  <c r="J112" i="12" s="1"/>
  <c r="J113" i="12" s="1"/>
  <c r="J114" i="12" s="1"/>
  <c r="J115" i="12" s="1"/>
  <c r="J116" i="12" s="1"/>
  <c r="J117" i="12" s="1"/>
  <c r="J5" i="12"/>
  <c r="J6" i="12" s="1"/>
  <c r="J7" i="12" s="1"/>
  <c r="J8" i="12" s="1"/>
  <c r="J9" i="12" s="1"/>
  <c r="J10" i="12" s="1"/>
  <c r="J11" i="12" s="1"/>
  <c r="J12" i="12" s="1"/>
  <c r="J13" i="12" s="1"/>
  <c r="J14" i="12" s="1"/>
  <c r="J15" i="12" s="1"/>
  <c r="J16" i="12" s="1"/>
  <c r="J17" i="12" s="1"/>
  <c r="J18" i="12" s="1"/>
  <c r="J19" i="12" s="1"/>
  <c r="J20" i="12" s="1"/>
  <c r="J21" i="12" s="1"/>
  <c r="J22" i="12" s="1"/>
  <c r="J23" i="12" s="1"/>
  <c r="J24" i="12" s="1"/>
  <c r="J25" i="12" s="1"/>
  <c r="J26" i="12" s="1"/>
  <c r="J27" i="12" s="1"/>
  <c r="J28" i="12" s="1"/>
  <c r="J29" i="12" s="1"/>
  <c r="J30" i="12" s="1"/>
  <c r="J31" i="12" s="1"/>
  <c r="J32" i="12" s="1"/>
  <c r="J33" i="12" s="1"/>
  <c r="J34" i="12" s="1"/>
  <c r="J35" i="12" s="1"/>
  <c r="J36" i="12" s="1"/>
  <c r="J37" i="12" s="1"/>
  <c r="J38" i="12" s="1"/>
  <c r="J39" i="12" s="1"/>
  <c r="J40" i="12" s="1"/>
  <c r="J41" i="12" s="1"/>
  <c r="J42" i="12" s="1"/>
  <c r="J43" i="12" s="1"/>
  <c r="J44" i="12" s="1"/>
  <c r="J45" i="12" s="1"/>
  <c r="J46" i="12" s="1"/>
  <c r="J47" i="12" s="1"/>
  <c r="J48" i="12" s="1"/>
  <c r="J49" i="12" s="1"/>
  <c r="J50" i="12" s="1"/>
  <c r="J51" i="12" s="1"/>
  <c r="J52" i="12" s="1"/>
  <c r="J53" i="12" s="1"/>
  <c r="J54" i="12" s="1"/>
  <c r="J55" i="12" s="1"/>
  <c r="J56" i="12" s="1"/>
  <c r="J57" i="12" s="1"/>
  <c r="J58" i="12" s="1"/>
  <c r="J59" i="12" s="1"/>
  <c r="J60" i="12" s="1"/>
  <c r="J61" i="12" s="1"/>
  <c r="J4" i="12"/>
  <c r="A2" i="1"/>
  <c r="B35" i="3" a="1"/>
  <c r="D36" i="3" a="1"/>
  <c r="B35" i="22" a="1"/>
  <c r="B35" i="21" a="1"/>
  <c r="B35" i="20" a="1"/>
  <c r="B35" i="19" a="1"/>
  <c r="B35" i="18" a="1"/>
  <c r="B35" i="17" a="1"/>
  <c r="B35" i="16" a="1"/>
  <c r="B35" i="15" a="1"/>
  <c r="B35" i="14" a="1"/>
  <c r="B35" i="3" l="1"/>
  <c r="D36" i="3"/>
  <c r="B35" i="22"/>
  <c r="B35" i="21"/>
  <c r="B35" i="20"/>
  <c r="B35" i="19"/>
  <c r="B35" i="18"/>
  <c r="B35" i="17"/>
  <c r="B35" i="16"/>
  <c r="B35" i="15"/>
  <c r="B35" i="1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75FDCB9-A031-4512-8E82-190493BB2F8F}" keepAlive="1" name="Query - NHY" description="Connection to the 'NHY' query in the workbook." type="5" refreshedVersion="8" background="1" saveData="1">
    <dbPr connection="Provider=Microsoft.Mashup.OleDb.1;Data Source=$Workbook$;Location=NHY;Extended Properties=&quot;&quot;" command="SELECT * FROM [NH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403">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futureMetadata>
  <cellMetadata count="1">
    <bk>
      <rc t="1" v="0"/>
    </bk>
  </cellMetadata>
  <valueMetadata count="140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bk>
      <rc t="2" v="869"/>
    </bk>
    <bk>
      <rc t="2" v="870"/>
    </bk>
    <bk>
      <rc t="2" v="871"/>
    </bk>
    <bk>
      <rc t="2" v="872"/>
    </bk>
    <bk>
      <rc t="2" v="873"/>
    </bk>
    <bk>
      <rc t="2" v="874"/>
    </bk>
    <bk>
      <rc t="2" v="875"/>
    </bk>
    <bk>
      <rc t="2" v="876"/>
    </bk>
    <bk>
      <rc t="2" v="877"/>
    </bk>
    <bk>
      <rc t="2" v="878"/>
    </bk>
    <bk>
      <rc t="2" v="879"/>
    </bk>
    <bk>
      <rc t="2" v="880"/>
    </bk>
    <bk>
      <rc t="2" v="881"/>
    </bk>
    <bk>
      <rc t="2" v="882"/>
    </bk>
    <bk>
      <rc t="2" v="883"/>
    </bk>
    <bk>
      <rc t="2" v="884"/>
    </bk>
    <bk>
      <rc t="2" v="885"/>
    </bk>
    <bk>
      <rc t="2" v="886"/>
    </bk>
    <bk>
      <rc t="2" v="887"/>
    </bk>
    <bk>
      <rc t="2" v="888"/>
    </bk>
    <bk>
      <rc t="2" v="889"/>
    </bk>
    <bk>
      <rc t="2" v="890"/>
    </bk>
    <bk>
      <rc t="2" v="891"/>
    </bk>
    <bk>
      <rc t="2" v="892"/>
    </bk>
    <bk>
      <rc t="2" v="893"/>
    </bk>
    <bk>
      <rc t="2" v="894"/>
    </bk>
    <bk>
      <rc t="2" v="895"/>
    </bk>
    <bk>
      <rc t="2" v="896"/>
    </bk>
    <bk>
      <rc t="2" v="897"/>
    </bk>
    <bk>
      <rc t="2" v="898"/>
    </bk>
    <bk>
      <rc t="2" v="899"/>
    </bk>
    <bk>
      <rc t="2" v="900"/>
    </bk>
    <bk>
      <rc t="2" v="901"/>
    </bk>
    <bk>
      <rc t="2" v="902"/>
    </bk>
    <bk>
      <rc t="2" v="903"/>
    </bk>
    <bk>
      <rc t="2" v="904"/>
    </bk>
    <bk>
      <rc t="2" v="905"/>
    </bk>
    <bk>
      <rc t="2" v="906"/>
    </bk>
    <bk>
      <rc t="2" v="907"/>
    </bk>
    <bk>
      <rc t="2" v="908"/>
    </bk>
    <bk>
      <rc t="2" v="909"/>
    </bk>
    <bk>
      <rc t="2" v="910"/>
    </bk>
    <bk>
      <rc t="2" v="911"/>
    </bk>
    <bk>
      <rc t="2" v="912"/>
    </bk>
    <bk>
      <rc t="2" v="913"/>
    </bk>
    <bk>
      <rc t="2" v="914"/>
    </bk>
    <bk>
      <rc t="2" v="915"/>
    </bk>
    <bk>
      <rc t="2" v="916"/>
    </bk>
    <bk>
      <rc t="2" v="917"/>
    </bk>
    <bk>
      <rc t="2" v="918"/>
    </bk>
    <bk>
      <rc t="2" v="919"/>
    </bk>
    <bk>
      <rc t="2" v="920"/>
    </bk>
    <bk>
      <rc t="2" v="921"/>
    </bk>
    <bk>
      <rc t="2" v="922"/>
    </bk>
    <bk>
      <rc t="2" v="923"/>
    </bk>
    <bk>
      <rc t="2" v="924"/>
    </bk>
    <bk>
      <rc t="2" v="925"/>
    </bk>
    <bk>
      <rc t="2" v="926"/>
    </bk>
    <bk>
      <rc t="2" v="927"/>
    </bk>
    <bk>
      <rc t="2" v="928"/>
    </bk>
    <bk>
      <rc t="2" v="929"/>
    </bk>
    <bk>
      <rc t="2" v="930"/>
    </bk>
    <bk>
      <rc t="2" v="931"/>
    </bk>
    <bk>
      <rc t="2" v="932"/>
    </bk>
    <bk>
      <rc t="2" v="933"/>
    </bk>
    <bk>
      <rc t="2" v="934"/>
    </bk>
    <bk>
      <rc t="2" v="935"/>
    </bk>
    <bk>
      <rc t="2" v="936"/>
    </bk>
    <bk>
      <rc t="2" v="937"/>
    </bk>
    <bk>
      <rc t="2" v="938"/>
    </bk>
    <bk>
      <rc t="2" v="939"/>
    </bk>
    <bk>
      <rc t="2" v="940"/>
    </bk>
    <bk>
      <rc t="2" v="941"/>
    </bk>
    <bk>
      <rc t="2" v="942"/>
    </bk>
    <bk>
      <rc t="2" v="943"/>
    </bk>
    <bk>
      <rc t="2" v="944"/>
    </bk>
    <bk>
      <rc t="2" v="945"/>
    </bk>
    <bk>
      <rc t="2" v="946"/>
    </bk>
    <bk>
      <rc t="2" v="947"/>
    </bk>
    <bk>
      <rc t="2" v="948"/>
    </bk>
    <bk>
      <rc t="2" v="949"/>
    </bk>
    <bk>
      <rc t="2" v="950"/>
    </bk>
    <bk>
      <rc t="2" v="951"/>
    </bk>
    <bk>
      <rc t="2" v="952"/>
    </bk>
    <bk>
      <rc t="2" v="953"/>
    </bk>
    <bk>
      <rc t="2" v="954"/>
    </bk>
    <bk>
      <rc t="2" v="955"/>
    </bk>
    <bk>
      <rc t="2" v="956"/>
    </bk>
    <bk>
      <rc t="2" v="957"/>
    </bk>
    <bk>
      <rc t="2" v="958"/>
    </bk>
    <bk>
      <rc t="2" v="959"/>
    </bk>
    <bk>
      <rc t="2" v="960"/>
    </bk>
    <bk>
      <rc t="2" v="961"/>
    </bk>
    <bk>
      <rc t="2" v="962"/>
    </bk>
    <bk>
      <rc t="2" v="963"/>
    </bk>
    <bk>
      <rc t="2" v="964"/>
    </bk>
    <bk>
      <rc t="2" v="965"/>
    </bk>
    <bk>
      <rc t="2" v="966"/>
    </bk>
    <bk>
      <rc t="2" v="967"/>
    </bk>
    <bk>
      <rc t="2" v="968"/>
    </bk>
    <bk>
      <rc t="2" v="969"/>
    </bk>
    <bk>
      <rc t="2" v="970"/>
    </bk>
    <bk>
      <rc t="2" v="971"/>
    </bk>
    <bk>
      <rc t="2" v="972"/>
    </bk>
    <bk>
      <rc t="2" v="973"/>
    </bk>
    <bk>
      <rc t="2" v="974"/>
    </bk>
    <bk>
      <rc t="2" v="975"/>
    </bk>
    <bk>
      <rc t="2" v="976"/>
    </bk>
    <bk>
      <rc t="2" v="977"/>
    </bk>
    <bk>
      <rc t="2" v="978"/>
    </bk>
    <bk>
      <rc t="2" v="979"/>
    </bk>
    <bk>
      <rc t="2" v="980"/>
    </bk>
    <bk>
      <rc t="2" v="981"/>
    </bk>
    <bk>
      <rc t="2" v="982"/>
    </bk>
    <bk>
      <rc t="2" v="983"/>
    </bk>
    <bk>
      <rc t="2" v="984"/>
    </bk>
    <bk>
      <rc t="2" v="985"/>
    </bk>
    <bk>
      <rc t="2" v="986"/>
    </bk>
    <bk>
      <rc t="2" v="987"/>
    </bk>
    <bk>
      <rc t="2" v="988"/>
    </bk>
    <bk>
      <rc t="2" v="989"/>
    </bk>
    <bk>
      <rc t="2" v="990"/>
    </bk>
    <bk>
      <rc t="2" v="991"/>
    </bk>
    <bk>
      <rc t="2" v="992"/>
    </bk>
    <bk>
      <rc t="2" v="993"/>
    </bk>
    <bk>
      <rc t="2" v="994"/>
    </bk>
    <bk>
      <rc t="2" v="995"/>
    </bk>
    <bk>
      <rc t="2" v="996"/>
    </bk>
    <bk>
      <rc t="2" v="997"/>
    </bk>
    <bk>
      <rc t="2" v="998"/>
    </bk>
    <bk>
      <rc t="2" v="999"/>
    </bk>
    <bk>
      <rc t="2" v="1000"/>
    </bk>
    <bk>
      <rc t="2" v="1001"/>
    </bk>
    <bk>
      <rc t="2" v="1002"/>
    </bk>
    <bk>
      <rc t="2" v="1003"/>
    </bk>
    <bk>
      <rc t="2" v="1004"/>
    </bk>
    <bk>
      <rc t="2" v="1005"/>
    </bk>
    <bk>
      <rc t="2" v="1006"/>
    </bk>
    <bk>
      <rc t="2" v="1007"/>
    </bk>
    <bk>
      <rc t="2" v="1008"/>
    </bk>
    <bk>
      <rc t="2" v="1009"/>
    </bk>
    <bk>
      <rc t="2" v="1010"/>
    </bk>
    <bk>
      <rc t="2" v="1011"/>
    </bk>
    <bk>
      <rc t="2" v="1012"/>
    </bk>
    <bk>
      <rc t="2" v="1013"/>
    </bk>
    <bk>
      <rc t="2" v="1014"/>
    </bk>
    <bk>
      <rc t="2" v="1015"/>
    </bk>
    <bk>
      <rc t="2" v="1016"/>
    </bk>
    <bk>
      <rc t="2" v="1017"/>
    </bk>
    <bk>
      <rc t="2" v="1018"/>
    </bk>
    <bk>
      <rc t="2" v="1019"/>
    </bk>
    <bk>
      <rc t="2" v="1020"/>
    </bk>
    <bk>
      <rc t="2" v="1021"/>
    </bk>
    <bk>
      <rc t="2" v="1022"/>
    </bk>
    <bk>
      <rc t="2" v="1023"/>
    </bk>
    <bk>
      <rc t="2" v="1024"/>
    </bk>
    <bk>
      <rc t="2" v="1025"/>
    </bk>
    <bk>
      <rc t="2" v="1026"/>
    </bk>
    <bk>
      <rc t="2" v="1027"/>
    </bk>
    <bk>
      <rc t="2" v="1028"/>
    </bk>
    <bk>
      <rc t="2" v="1029"/>
    </bk>
    <bk>
      <rc t="2" v="1030"/>
    </bk>
    <bk>
      <rc t="2" v="1031"/>
    </bk>
    <bk>
      <rc t="2" v="1032"/>
    </bk>
    <bk>
      <rc t="2" v="1033"/>
    </bk>
    <bk>
      <rc t="2" v="1034"/>
    </bk>
    <bk>
      <rc t="2" v="1035"/>
    </bk>
    <bk>
      <rc t="2" v="1036"/>
    </bk>
    <bk>
      <rc t="2" v="1037"/>
    </bk>
    <bk>
      <rc t="2" v="1038"/>
    </bk>
    <bk>
      <rc t="2" v="1039"/>
    </bk>
    <bk>
      <rc t="2" v="1040"/>
    </bk>
    <bk>
      <rc t="2" v="1041"/>
    </bk>
    <bk>
      <rc t="2" v="1042"/>
    </bk>
    <bk>
      <rc t="2" v="1043"/>
    </bk>
    <bk>
      <rc t="2" v="1044"/>
    </bk>
    <bk>
      <rc t="2" v="1045"/>
    </bk>
    <bk>
      <rc t="2" v="1046"/>
    </bk>
    <bk>
      <rc t="2" v="1047"/>
    </bk>
    <bk>
      <rc t="2" v="1048"/>
    </bk>
    <bk>
      <rc t="2" v="1049"/>
    </bk>
    <bk>
      <rc t="2" v="1050"/>
    </bk>
    <bk>
      <rc t="2" v="1051"/>
    </bk>
    <bk>
      <rc t="2" v="1052"/>
    </bk>
    <bk>
      <rc t="2" v="1053"/>
    </bk>
    <bk>
      <rc t="2" v="1054"/>
    </bk>
    <bk>
      <rc t="2" v="1055"/>
    </bk>
    <bk>
      <rc t="2" v="1056"/>
    </bk>
    <bk>
      <rc t="2" v="1057"/>
    </bk>
    <bk>
      <rc t="2" v="1058"/>
    </bk>
    <bk>
      <rc t="2" v="1059"/>
    </bk>
    <bk>
      <rc t="2" v="1060"/>
    </bk>
    <bk>
      <rc t="2" v="1061"/>
    </bk>
    <bk>
      <rc t="2" v="1062"/>
    </bk>
    <bk>
      <rc t="2" v="1063"/>
    </bk>
    <bk>
      <rc t="2" v="1064"/>
    </bk>
    <bk>
      <rc t="2" v="1065"/>
    </bk>
    <bk>
      <rc t="2" v="1066"/>
    </bk>
    <bk>
      <rc t="2" v="1067"/>
    </bk>
    <bk>
      <rc t="2" v="1068"/>
    </bk>
    <bk>
      <rc t="2" v="1069"/>
    </bk>
    <bk>
      <rc t="2" v="1070"/>
    </bk>
    <bk>
      <rc t="2" v="1071"/>
    </bk>
    <bk>
      <rc t="2" v="1072"/>
    </bk>
    <bk>
      <rc t="2" v="1073"/>
    </bk>
    <bk>
      <rc t="2" v="1074"/>
    </bk>
    <bk>
      <rc t="2" v="1075"/>
    </bk>
    <bk>
      <rc t="2" v="1076"/>
    </bk>
    <bk>
      <rc t="2" v="1077"/>
    </bk>
    <bk>
      <rc t="2" v="1078"/>
    </bk>
    <bk>
      <rc t="2" v="1079"/>
    </bk>
    <bk>
      <rc t="2" v="1080"/>
    </bk>
    <bk>
      <rc t="2" v="1081"/>
    </bk>
    <bk>
      <rc t="2" v="1082"/>
    </bk>
    <bk>
      <rc t="2" v="1083"/>
    </bk>
    <bk>
      <rc t="2" v="1084"/>
    </bk>
    <bk>
      <rc t="2" v="1085"/>
    </bk>
    <bk>
      <rc t="2" v="1086"/>
    </bk>
    <bk>
      <rc t="2" v="1087"/>
    </bk>
    <bk>
      <rc t="2" v="1088"/>
    </bk>
    <bk>
      <rc t="2" v="1089"/>
    </bk>
    <bk>
      <rc t="2" v="1090"/>
    </bk>
    <bk>
      <rc t="2" v="1091"/>
    </bk>
    <bk>
      <rc t="2" v="1092"/>
    </bk>
    <bk>
      <rc t="2" v="1093"/>
    </bk>
    <bk>
      <rc t="2" v="1094"/>
    </bk>
    <bk>
      <rc t="2" v="1095"/>
    </bk>
    <bk>
      <rc t="2" v="1096"/>
    </bk>
    <bk>
      <rc t="2" v="1097"/>
    </bk>
    <bk>
      <rc t="2" v="1098"/>
    </bk>
    <bk>
      <rc t="2" v="1099"/>
    </bk>
    <bk>
      <rc t="2" v="1100"/>
    </bk>
    <bk>
      <rc t="2" v="1101"/>
    </bk>
    <bk>
      <rc t="2" v="1102"/>
    </bk>
    <bk>
      <rc t="2" v="1103"/>
    </bk>
    <bk>
      <rc t="2" v="1104"/>
    </bk>
    <bk>
      <rc t="2" v="1105"/>
    </bk>
    <bk>
      <rc t="2" v="1106"/>
    </bk>
    <bk>
      <rc t="2" v="1107"/>
    </bk>
    <bk>
      <rc t="2" v="1108"/>
    </bk>
    <bk>
      <rc t="2" v="1109"/>
    </bk>
    <bk>
      <rc t="2" v="1110"/>
    </bk>
    <bk>
      <rc t="2" v="1111"/>
    </bk>
    <bk>
      <rc t="2" v="1112"/>
    </bk>
    <bk>
      <rc t="2" v="1113"/>
    </bk>
    <bk>
      <rc t="2" v="1114"/>
    </bk>
    <bk>
      <rc t="2" v="1115"/>
    </bk>
    <bk>
      <rc t="2" v="1116"/>
    </bk>
    <bk>
      <rc t="2" v="1117"/>
    </bk>
    <bk>
      <rc t="2" v="1118"/>
    </bk>
    <bk>
      <rc t="2" v="1119"/>
    </bk>
    <bk>
      <rc t="2" v="1120"/>
    </bk>
    <bk>
      <rc t="2" v="1121"/>
    </bk>
    <bk>
      <rc t="2" v="1122"/>
    </bk>
    <bk>
      <rc t="2" v="1123"/>
    </bk>
    <bk>
      <rc t="2" v="1124"/>
    </bk>
    <bk>
      <rc t="2" v="1125"/>
    </bk>
    <bk>
      <rc t="2" v="1126"/>
    </bk>
    <bk>
      <rc t="2" v="1127"/>
    </bk>
    <bk>
      <rc t="2" v="1128"/>
    </bk>
    <bk>
      <rc t="2" v="1129"/>
    </bk>
    <bk>
      <rc t="2" v="1130"/>
    </bk>
    <bk>
      <rc t="2" v="1131"/>
    </bk>
    <bk>
      <rc t="2" v="1132"/>
    </bk>
    <bk>
      <rc t="2" v="1133"/>
    </bk>
    <bk>
      <rc t="2" v="1134"/>
    </bk>
    <bk>
      <rc t="2" v="1135"/>
    </bk>
    <bk>
      <rc t="2" v="1136"/>
    </bk>
    <bk>
      <rc t="2" v="1137"/>
    </bk>
    <bk>
      <rc t="2" v="1138"/>
    </bk>
    <bk>
      <rc t="2" v="1139"/>
    </bk>
    <bk>
      <rc t="2" v="1140"/>
    </bk>
    <bk>
      <rc t="2" v="1141"/>
    </bk>
    <bk>
      <rc t="2" v="1142"/>
    </bk>
    <bk>
      <rc t="2" v="1143"/>
    </bk>
    <bk>
      <rc t="2" v="1144"/>
    </bk>
    <bk>
      <rc t="2" v="1145"/>
    </bk>
    <bk>
      <rc t="2" v="1146"/>
    </bk>
    <bk>
      <rc t="2" v="1147"/>
    </bk>
    <bk>
      <rc t="2" v="1148"/>
    </bk>
    <bk>
      <rc t="2" v="1149"/>
    </bk>
    <bk>
      <rc t="2" v="1150"/>
    </bk>
    <bk>
      <rc t="2" v="1151"/>
    </bk>
    <bk>
      <rc t="2" v="1152"/>
    </bk>
    <bk>
      <rc t="2" v="1153"/>
    </bk>
    <bk>
      <rc t="2" v="1154"/>
    </bk>
    <bk>
      <rc t="2" v="1155"/>
    </bk>
    <bk>
      <rc t="2" v="1156"/>
    </bk>
    <bk>
      <rc t="2" v="1157"/>
    </bk>
    <bk>
      <rc t="2" v="1158"/>
    </bk>
    <bk>
      <rc t="2" v="1159"/>
    </bk>
    <bk>
      <rc t="2" v="1160"/>
    </bk>
    <bk>
      <rc t="2" v="1161"/>
    </bk>
    <bk>
      <rc t="2" v="1162"/>
    </bk>
    <bk>
      <rc t="2" v="1163"/>
    </bk>
    <bk>
      <rc t="2" v="1164"/>
    </bk>
    <bk>
      <rc t="2" v="1165"/>
    </bk>
    <bk>
      <rc t="2" v="1166"/>
    </bk>
    <bk>
      <rc t="2" v="1167"/>
    </bk>
    <bk>
      <rc t="2" v="1168"/>
    </bk>
    <bk>
      <rc t="2" v="1169"/>
    </bk>
    <bk>
      <rc t="2" v="1170"/>
    </bk>
    <bk>
      <rc t="2" v="1171"/>
    </bk>
    <bk>
      <rc t="2" v="1172"/>
    </bk>
    <bk>
      <rc t="2" v="1173"/>
    </bk>
    <bk>
      <rc t="2" v="1174"/>
    </bk>
    <bk>
      <rc t="2" v="1175"/>
    </bk>
    <bk>
      <rc t="2" v="1176"/>
    </bk>
    <bk>
      <rc t="2" v="1177"/>
    </bk>
    <bk>
      <rc t="2" v="1178"/>
    </bk>
    <bk>
      <rc t="2" v="1179"/>
    </bk>
    <bk>
      <rc t="2" v="1180"/>
    </bk>
    <bk>
      <rc t="2" v="1181"/>
    </bk>
    <bk>
      <rc t="2" v="1182"/>
    </bk>
    <bk>
      <rc t="2" v="1183"/>
    </bk>
    <bk>
      <rc t="2" v="1184"/>
    </bk>
    <bk>
      <rc t="2" v="1185"/>
    </bk>
    <bk>
      <rc t="2" v="1186"/>
    </bk>
    <bk>
      <rc t="2" v="1187"/>
    </bk>
    <bk>
      <rc t="2" v="1188"/>
    </bk>
    <bk>
      <rc t="2" v="1189"/>
    </bk>
    <bk>
      <rc t="2" v="1190"/>
    </bk>
    <bk>
      <rc t="2" v="1191"/>
    </bk>
    <bk>
      <rc t="2" v="1192"/>
    </bk>
    <bk>
      <rc t="2" v="1193"/>
    </bk>
    <bk>
      <rc t="2" v="1194"/>
    </bk>
    <bk>
      <rc t="2" v="1195"/>
    </bk>
    <bk>
      <rc t="2" v="1196"/>
    </bk>
    <bk>
      <rc t="2" v="1197"/>
    </bk>
    <bk>
      <rc t="2" v="1198"/>
    </bk>
    <bk>
      <rc t="2" v="1199"/>
    </bk>
    <bk>
      <rc t="2" v="1200"/>
    </bk>
    <bk>
      <rc t="2" v="1201"/>
    </bk>
    <bk>
      <rc t="2" v="1202"/>
    </bk>
    <bk>
      <rc t="2" v="1203"/>
    </bk>
    <bk>
      <rc t="2" v="1204"/>
    </bk>
    <bk>
      <rc t="2" v="1205"/>
    </bk>
    <bk>
      <rc t="2" v="1206"/>
    </bk>
    <bk>
      <rc t="2" v="1207"/>
    </bk>
    <bk>
      <rc t="2" v="1208"/>
    </bk>
    <bk>
      <rc t="2" v="1209"/>
    </bk>
    <bk>
      <rc t="2" v="1210"/>
    </bk>
    <bk>
      <rc t="2" v="1211"/>
    </bk>
    <bk>
      <rc t="2" v="1212"/>
    </bk>
    <bk>
      <rc t="2" v="1213"/>
    </bk>
    <bk>
      <rc t="2" v="1214"/>
    </bk>
    <bk>
      <rc t="2" v="1215"/>
    </bk>
    <bk>
      <rc t="2" v="1216"/>
    </bk>
    <bk>
      <rc t="2" v="1217"/>
    </bk>
    <bk>
      <rc t="2" v="1218"/>
    </bk>
    <bk>
      <rc t="2" v="1219"/>
    </bk>
    <bk>
      <rc t="2" v="1220"/>
    </bk>
    <bk>
      <rc t="2" v="1221"/>
    </bk>
    <bk>
      <rc t="2" v="1222"/>
    </bk>
    <bk>
      <rc t="2" v="1223"/>
    </bk>
    <bk>
      <rc t="2" v="1224"/>
    </bk>
    <bk>
      <rc t="2" v="1225"/>
    </bk>
    <bk>
      <rc t="2" v="1226"/>
    </bk>
    <bk>
      <rc t="2" v="1227"/>
    </bk>
    <bk>
      <rc t="2" v="1228"/>
    </bk>
    <bk>
      <rc t="2" v="1229"/>
    </bk>
    <bk>
      <rc t="2" v="1230"/>
    </bk>
    <bk>
      <rc t="2" v="1231"/>
    </bk>
    <bk>
      <rc t="2" v="1232"/>
    </bk>
    <bk>
      <rc t="2" v="1233"/>
    </bk>
    <bk>
      <rc t="2" v="1234"/>
    </bk>
    <bk>
      <rc t="2" v="1235"/>
    </bk>
    <bk>
      <rc t="2" v="1236"/>
    </bk>
    <bk>
      <rc t="2" v="1237"/>
    </bk>
    <bk>
      <rc t="2" v="1238"/>
    </bk>
    <bk>
      <rc t="2" v="1239"/>
    </bk>
    <bk>
      <rc t="2" v="1240"/>
    </bk>
    <bk>
      <rc t="2" v="1241"/>
    </bk>
    <bk>
      <rc t="2" v="1242"/>
    </bk>
    <bk>
      <rc t="2" v="1243"/>
    </bk>
    <bk>
      <rc t="2" v="1244"/>
    </bk>
    <bk>
      <rc t="2" v="1245"/>
    </bk>
    <bk>
      <rc t="2" v="1246"/>
    </bk>
    <bk>
      <rc t="2" v="1247"/>
    </bk>
    <bk>
      <rc t="2" v="1248"/>
    </bk>
    <bk>
      <rc t="2" v="1249"/>
    </bk>
    <bk>
      <rc t="2" v="1250"/>
    </bk>
    <bk>
      <rc t="2" v="1251"/>
    </bk>
    <bk>
      <rc t="2" v="1252"/>
    </bk>
    <bk>
      <rc t="2" v="1253"/>
    </bk>
    <bk>
      <rc t="2" v="1254"/>
    </bk>
    <bk>
      <rc t="2" v="1255"/>
    </bk>
    <bk>
      <rc t="2" v="1256"/>
    </bk>
    <bk>
      <rc t="2" v="1257"/>
    </bk>
    <bk>
      <rc t="2" v="1258"/>
    </bk>
    <bk>
      <rc t="2" v="1259"/>
    </bk>
    <bk>
      <rc t="2" v="1260"/>
    </bk>
    <bk>
      <rc t="2" v="1261"/>
    </bk>
    <bk>
      <rc t="2" v="1262"/>
    </bk>
    <bk>
      <rc t="2" v="1263"/>
    </bk>
    <bk>
      <rc t="2" v="1264"/>
    </bk>
    <bk>
      <rc t="2" v="1265"/>
    </bk>
    <bk>
      <rc t="2" v="1266"/>
    </bk>
    <bk>
      <rc t="2" v="1267"/>
    </bk>
    <bk>
      <rc t="2" v="1268"/>
    </bk>
    <bk>
      <rc t="2" v="1269"/>
    </bk>
    <bk>
      <rc t="2" v="1270"/>
    </bk>
    <bk>
      <rc t="2" v="1271"/>
    </bk>
    <bk>
      <rc t="2" v="1272"/>
    </bk>
    <bk>
      <rc t="2" v="1273"/>
    </bk>
    <bk>
      <rc t="2" v="1274"/>
    </bk>
    <bk>
      <rc t="2" v="1275"/>
    </bk>
    <bk>
      <rc t="2" v="1276"/>
    </bk>
    <bk>
      <rc t="2" v="1277"/>
    </bk>
    <bk>
      <rc t="2" v="1278"/>
    </bk>
    <bk>
      <rc t="2" v="1279"/>
    </bk>
    <bk>
      <rc t="2" v="1280"/>
    </bk>
    <bk>
      <rc t="2" v="1281"/>
    </bk>
    <bk>
      <rc t="2" v="1282"/>
    </bk>
    <bk>
      <rc t="2" v="1283"/>
    </bk>
    <bk>
      <rc t="2" v="1284"/>
    </bk>
    <bk>
      <rc t="2" v="1285"/>
    </bk>
    <bk>
      <rc t="2" v="1286"/>
    </bk>
    <bk>
      <rc t="2" v="1287"/>
    </bk>
    <bk>
      <rc t="2" v="1288"/>
    </bk>
    <bk>
      <rc t="2" v="1289"/>
    </bk>
    <bk>
      <rc t="2" v="1290"/>
    </bk>
    <bk>
      <rc t="2" v="1291"/>
    </bk>
    <bk>
      <rc t="2" v="1292"/>
    </bk>
    <bk>
      <rc t="2" v="1293"/>
    </bk>
    <bk>
      <rc t="2" v="1294"/>
    </bk>
    <bk>
      <rc t="2" v="1295"/>
    </bk>
    <bk>
      <rc t="2" v="1296"/>
    </bk>
    <bk>
      <rc t="2" v="1297"/>
    </bk>
    <bk>
      <rc t="2" v="1298"/>
    </bk>
    <bk>
      <rc t="2" v="1299"/>
    </bk>
    <bk>
      <rc t="2" v="1300"/>
    </bk>
    <bk>
      <rc t="2" v="1301"/>
    </bk>
    <bk>
      <rc t="2" v="1302"/>
    </bk>
    <bk>
      <rc t="2" v="1303"/>
    </bk>
    <bk>
      <rc t="2" v="1304"/>
    </bk>
    <bk>
      <rc t="2" v="1305"/>
    </bk>
    <bk>
      <rc t="2" v="1306"/>
    </bk>
    <bk>
      <rc t="2" v="1307"/>
    </bk>
    <bk>
      <rc t="2" v="1308"/>
    </bk>
    <bk>
      <rc t="2" v="1309"/>
    </bk>
    <bk>
      <rc t="2" v="1310"/>
    </bk>
    <bk>
      <rc t="2" v="1311"/>
    </bk>
    <bk>
      <rc t="2" v="1312"/>
    </bk>
    <bk>
      <rc t="2" v="1313"/>
    </bk>
    <bk>
      <rc t="2" v="1314"/>
    </bk>
    <bk>
      <rc t="2" v="1315"/>
    </bk>
    <bk>
      <rc t="2" v="1316"/>
    </bk>
    <bk>
      <rc t="2" v="1317"/>
    </bk>
    <bk>
      <rc t="2" v="1318"/>
    </bk>
    <bk>
      <rc t="2" v="1319"/>
    </bk>
    <bk>
      <rc t="2" v="1320"/>
    </bk>
    <bk>
      <rc t="2" v="1321"/>
    </bk>
    <bk>
      <rc t="2" v="1322"/>
    </bk>
    <bk>
      <rc t="2" v="1323"/>
    </bk>
    <bk>
      <rc t="2" v="1324"/>
    </bk>
    <bk>
      <rc t="2" v="1325"/>
    </bk>
    <bk>
      <rc t="2" v="1326"/>
    </bk>
    <bk>
      <rc t="2" v="1327"/>
    </bk>
    <bk>
      <rc t="2" v="1328"/>
    </bk>
    <bk>
      <rc t="2" v="1329"/>
    </bk>
    <bk>
      <rc t="2" v="1330"/>
    </bk>
    <bk>
      <rc t="2" v="1331"/>
    </bk>
    <bk>
      <rc t="2" v="1332"/>
    </bk>
    <bk>
      <rc t="2" v="1333"/>
    </bk>
    <bk>
      <rc t="2" v="1334"/>
    </bk>
    <bk>
      <rc t="2" v="1335"/>
    </bk>
    <bk>
      <rc t="2" v="1336"/>
    </bk>
    <bk>
      <rc t="2" v="1337"/>
    </bk>
    <bk>
      <rc t="2" v="1338"/>
    </bk>
    <bk>
      <rc t="2" v="1339"/>
    </bk>
    <bk>
      <rc t="2" v="1340"/>
    </bk>
    <bk>
      <rc t="2" v="1341"/>
    </bk>
    <bk>
      <rc t="2" v="1342"/>
    </bk>
    <bk>
      <rc t="2" v="1343"/>
    </bk>
    <bk>
      <rc t="2" v="1344"/>
    </bk>
    <bk>
      <rc t="2" v="1345"/>
    </bk>
    <bk>
      <rc t="2" v="1346"/>
    </bk>
    <bk>
      <rc t="2" v="1347"/>
    </bk>
    <bk>
      <rc t="2" v="1348"/>
    </bk>
    <bk>
      <rc t="2" v="1349"/>
    </bk>
    <bk>
      <rc t="2" v="1350"/>
    </bk>
    <bk>
      <rc t="2" v="1351"/>
    </bk>
    <bk>
      <rc t="2" v="1352"/>
    </bk>
    <bk>
      <rc t="2" v="1353"/>
    </bk>
    <bk>
      <rc t="2" v="1354"/>
    </bk>
    <bk>
      <rc t="2" v="1355"/>
    </bk>
    <bk>
      <rc t="2" v="1356"/>
    </bk>
    <bk>
      <rc t="2" v="1357"/>
    </bk>
    <bk>
      <rc t="2" v="1358"/>
    </bk>
    <bk>
      <rc t="2" v="1359"/>
    </bk>
    <bk>
      <rc t="2" v="1360"/>
    </bk>
    <bk>
      <rc t="2" v="1361"/>
    </bk>
    <bk>
      <rc t="2" v="1362"/>
    </bk>
    <bk>
      <rc t="2" v="1363"/>
    </bk>
    <bk>
      <rc t="2" v="1364"/>
    </bk>
    <bk>
      <rc t="2" v="1365"/>
    </bk>
    <bk>
      <rc t="2" v="1366"/>
    </bk>
    <bk>
      <rc t="2" v="1367"/>
    </bk>
    <bk>
      <rc t="2" v="1368"/>
    </bk>
    <bk>
      <rc t="2" v="1369"/>
    </bk>
    <bk>
      <rc t="2" v="1370"/>
    </bk>
    <bk>
      <rc t="2" v="1371"/>
    </bk>
    <bk>
      <rc t="2" v="1372"/>
    </bk>
    <bk>
      <rc t="2" v="1373"/>
    </bk>
    <bk>
      <rc t="2" v="1374"/>
    </bk>
    <bk>
      <rc t="2" v="1375"/>
    </bk>
    <bk>
      <rc t="2" v="1376"/>
    </bk>
    <bk>
      <rc t="2" v="1377"/>
    </bk>
    <bk>
      <rc t="2" v="1378"/>
    </bk>
    <bk>
      <rc t="2" v="1379"/>
    </bk>
    <bk>
      <rc t="2" v="1380"/>
    </bk>
    <bk>
      <rc t="2" v="1381"/>
    </bk>
    <bk>
      <rc t="2" v="1382"/>
    </bk>
    <bk>
      <rc t="2" v="1383"/>
    </bk>
    <bk>
      <rc t="2" v="1384"/>
    </bk>
    <bk>
      <rc t="2" v="1385"/>
    </bk>
    <bk>
      <rc t="2" v="1386"/>
    </bk>
    <bk>
      <rc t="2" v="1387"/>
    </bk>
    <bk>
      <rc t="2" v="1388"/>
    </bk>
    <bk>
      <rc t="2" v="1389"/>
    </bk>
    <bk>
      <rc t="2" v="1390"/>
    </bk>
    <bk>
      <rc t="2" v="1391"/>
    </bk>
    <bk>
      <rc t="2" v="1392"/>
    </bk>
    <bk>
      <rc t="2" v="1393"/>
    </bk>
    <bk>
      <rc t="2" v="1394"/>
    </bk>
    <bk>
      <rc t="2" v="1395"/>
    </bk>
    <bk>
      <rc t="2" v="1396"/>
    </bk>
    <bk>
      <rc t="2" v="1397"/>
    </bk>
    <bk>
      <rc t="2" v="1398"/>
    </bk>
    <bk>
      <rc t="2" v="1399"/>
    </bk>
    <bk>
      <rc t="2" v="1400"/>
    </bk>
    <bk>
      <rc t="2" v="1401"/>
    </bk>
    <bk>
      <rc t="2" v="1402"/>
    </bk>
  </valueMetadata>
</metadata>
</file>

<file path=xl/sharedStrings.xml><?xml version="1.0" encoding="utf-8"?>
<sst xmlns="http://schemas.openxmlformats.org/spreadsheetml/2006/main" count="128" uniqueCount="35">
  <si>
    <t>Aksje</t>
  </si>
  <si>
    <t>Vekting</t>
  </si>
  <si>
    <t>Ticker</t>
  </si>
  <si>
    <t>Crayon Group</t>
  </si>
  <si>
    <t>DNB</t>
  </si>
  <si>
    <t>Sparebanken Vest</t>
  </si>
  <si>
    <t>Kongsberg Gruppen</t>
  </si>
  <si>
    <t>Scatec Solar</t>
  </si>
  <si>
    <t>Salmar</t>
  </si>
  <si>
    <t>NHY</t>
  </si>
  <si>
    <t>Equinor</t>
  </si>
  <si>
    <t>EQNR</t>
  </si>
  <si>
    <t>CRAYN</t>
  </si>
  <si>
    <t>SCATC</t>
  </si>
  <si>
    <t>SVEG</t>
  </si>
  <si>
    <t>TGS</t>
  </si>
  <si>
    <t>KOG</t>
  </si>
  <si>
    <t>SALM</t>
  </si>
  <si>
    <t>Overordnet kommentar</t>
  </si>
  <si>
    <t>Tags</t>
  </si>
  <si>
    <t>Bransje</t>
  </si>
  <si>
    <t>Råvarer</t>
  </si>
  <si>
    <t>Omsetning</t>
  </si>
  <si>
    <t>200 MRD NOK</t>
  </si>
  <si>
    <t>SAS</t>
  </si>
  <si>
    <t>date</t>
  </si>
  <si>
    <t>value</t>
  </si>
  <si>
    <t>index</t>
  </si>
  <si>
    <t>Tidsserier</t>
  </si>
  <si>
    <t>Kurser</t>
  </si>
  <si>
    <t>Hafnia</t>
  </si>
  <si>
    <t>Norsk Hydro</t>
  </si>
  <si>
    <t>Dato fra</t>
  </si>
  <si>
    <t>Dato til</t>
  </si>
  <si>
    <t>Dato -Volum - Return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</si>
</sst>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b/>
      <sz val="11"/>
      <color theme="0"/>
      <name val="Aptos Narrow"/>
      <family val="2"/>
      <scheme val="minor"/>
    </font>
    <font>
      <b/>
      <sz val="11"/>
      <color theme="1"/>
      <name val="Aptos Narrow"/>
      <family val="2"/>
      <scheme val="minor"/>
    </font>
    <font>
      <sz val="11"/>
      <color rgb="FF000000"/>
      <name val="Aptos Narrow"/>
      <family val="2"/>
    </font>
    <font>
      <sz val="11"/>
      <color theme="0"/>
      <name val="Aptos Narrow"/>
      <family val="2"/>
      <scheme val="minor"/>
    </font>
  </fonts>
  <fills count="3">
    <fill>
      <patternFill patternType="none"/>
    </fill>
    <fill>
      <patternFill patternType="gray125"/>
    </fill>
    <fill>
      <patternFill patternType="solid">
        <fgColor rgb="FF002060"/>
        <bgColor indexed="64"/>
      </patternFill>
    </fill>
  </fills>
  <borders count="1">
    <border>
      <left/>
      <right/>
      <top/>
      <bottom/>
      <diagonal/>
    </border>
  </borders>
  <cellStyleXfs count="1">
    <xf numFmtId="0" fontId="0" fillId="0" borderId="0"/>
  </cellStyleXfs>
  <cellXfs count="11">
    <xf numFmtId="0" fontId="0" fillId="0" borderId="0" xfId="0"/>
    <xf numFmtId="9" fontId="0" fillId="0" borderId="0" xfId="0" applyNumberFormat="1"/>
    <xf numFmtId="0" fontId="1" fillId="2" borderId="0" xfId="0" applyFont="1" applyFill="1"/>
    <xf numFmtId="0" fontId="1" fillId="0" borderId="0" xfId="0" applyFont="1"/>
    <xf numFmtId="0" fontId="0" fillId="0" borderId="0" xfId="0" applyAlignment="1">
      <alignment horizontal="right"/>
    </xf>
    <xf numFmtId="0" fontId="2" fillId="0" borderId="0" xfId="0" applyFont="1"/>
    <xf numFmtId="0" fontId="1" fillId="2" borderId="0" xfId="0" applyFont="1" applyFill="1" applyAlignment="1">
      <alignment horizontal="center"/>
    </xf>
    <xf numFmtId="14" fontId="0" fillId="0" borderId="0" xfId="0" applyNumberFormat="1"/>
    <xf numFmtId="0" fontId="4" fillId="2" borderId="0" xfId="0" applyFont="1" applyFill="1" applyAlignment="1">
      <alignment horizontal="center"/>
    </xf>
    <xf numFmtId="10" fontId="0" fillId="0" borderId="0" xfId="0" applyNumberFormat="1"/>
    <xf numFmtId="4"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 Target="richData/rdrichvalue.xml"/><Relationship Id="rId26" Type="http://schemas.openxmlformats.org/officeDocument/2006/relationships/customXml" Target="../customXml/item1.xml"/><Relationship Id="rId3" Type="http://schemas.openxmlformats.org/officeDocument/2006/relationships/worksheet" Target="worksheets/sheet3.xml"/><Relationship Id="rId21" Type="http://schemas.microsoft.com/office/2017/06/relationships/richStyles" Target="richData/rich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17/06/relationships/rdSupportingPropertyBag" Target="richData/rdsupportingpropertybag.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 Id="rId22" Type="http://schemas.microsoft.com/office/2017/06/relationships/rdSupportingPropertyBagStructure" Target="richData/rdsupportingpropertybagstructure.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495300</xdr:colOff>
          <xdr:row>1</xdr:row>
          <xdr:rowOff>133350</xdr:rowOff>
        </xdr:from>
        <xdr:to>
          <xdr:col>7</xdr:col>
          <xdr:colOff>76200</xdr:colOff>
          <xdr:row>5</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Aptos Narrow"/>
                </a:rPr>
                <a:t>Eksporter til nettside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604837</xdr:colOff>
      <xdr:row>2</xdr:row>
      <xdr:rowOff>33336</xdr:rowOff>
    </xdr:from>
    <xdr:to>
      <xdr:col>10</xdr:col>
      <xdr:colOff>104775</xdr:colOff>
      <xdr:row>21</xdr:row>
      <xdr:rowOff>38100</xdr:rowOff>
    </xdr:to>
    <xdr:sp macro="" textlink="">
      <xdr:nvSpPr>
        <xdr:cNvPr id="2" name="TextBox 1">
          <a:extLst>
            <a:ext uri="{FF2B5EF4-FFF2-40B4-BE49-F238E27FC236}">
              <a16:creationId xmlns:a16="http://schemas.microsoft.com/office/drawing/2014/main" id="{386F1C7F-CD03-FF0F-9EE0-D13F580F94CF}"/>
            </a:ext>
          </a:extLst>
        </xdr:cNvPr>
        <xdr:cNvSpPr txBox="1"/>
      </xdr:nvSpPr>
      <xdr:spPr>
        <a:xfrm>
          <a:off x="604837" y="414336"/>
          <a:ext cx="5595938" cy="3624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b-NO"/>
            <a:t>Norsk Hydro ASA er et globalt selskap med hovedkontor i Oslo, Norge, som opererer i aluminiumindustrien. Selskapet ble grunnlagt i 1905 og er en av verdens ledende leverandører av aluminium og aluminiumprodukter. Norsk Hydro har en integrert verdikjede som spenner fra utvinning av bauxitt og produksjon av alumina til elektrolyse, valseverk og resirkulering. Selskapet har en betydelig tilstedeværelse i Norge, men opererer også globalt, med fabrikker og produksjonsanlegg i over 40 land.</a:t>
          </a:r>
        </a:p>
        <a:p>
          <a:endParaRPr lang="nb-NO"/>
        </a:p>
        <a:p>
          <a:r>
            <a:rPr lang="nb-NO"/>
            <a:t>Hydro er et etablert selskap i sin bransje og har en sterk posisjon på verdensmarkedet for aluminium. Det har over 30 000 ansatte og genererte en omsetning på rundt 200 milliarder NOK i 2023. Selskapet er kjent for sitt fokus på bærekraft og har investert tungt i teknologi som reduserer utslippene fra aluminiumproduksjon.</a:t>
          </a:r>
        </a:p>
        <a:p>
          <a:endParaRPr lang="nb-NO"/>
        </a:p>
        <a:p>
          <a:r>
            <a:rPr lang="nb-NO"/>
            <a:t>På grunn av sin lange historie og betydelige markedsposisjon, er Hydro sett på som en stabil aktør i aluminiumindustrien, selv om selskapet kontinuerlig jobber med å tilpasse seg markedsendringer og teknologisk utvikling. Dette gjør Hydro til et interessant selskap for investorer som ønsker eksponering mot råvaresektoren, spesielt med tanke på det økende globale fokuset på bærekraftige og miljøvennlige materialer.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604837</xdr:colOff>
      <xdr:row>2</xdr:row>
      <xdr:rowOff>33336</xdr:rowOff>
    </xdr:from>
    <xdr:to>
      <xdr:col>10</xdr:col>
      <xdr:colOff>104775</xdr:colOff>
      <xdr:row>21</xdr:row>
      <xdr:rowOff>38100</xdr:rowOff>
    </xdr:to>
    <xdr:sp macro="" textlink="">
      <xdr:nvSpPr>
        <xdr:cNvPr id="2" name="TextBox 1">
          <a:extLst>
            <a:ext uri="{FF2B5EF4-FFF2-40B4-BE49-F238E27FC236}">
              <a16:creationId xmlns:a16="http://schemas.microsoft.com/office/drawing/2014/main" id="{C6DAB6A8-0CEE-4ADB-B16B-D874178B47C9}"/>
            </a:ext>
          </a:extLst>
        </xdr:cNvPr>
        <xdr:cNvSpPr txBox="1"/>
      </xdr:nvSpPr>
      <xdr:spPr>
        <a:xfrm>
          <a:off x="604837" y="414336"/>
          <a:ext cx="6367463" cy="3624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b-NO"/>
            <a:t>SAS AB</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604837</xdr:colOff>
      <xdr:row>2</xdr:row>
      <xdr:rowOff>33336</xdr:rowOff>
    </xdr:from>
    <xdr:to>
      <xdr:col>10</xdr:col>
      <xdr:colOff>104775</xdr:colOff>
      <xdr:row>21</xdr:row>
      <xdr:rowOff>38100</xdr:rowOff>
    </xdr:to>
    <xdr:sp macro="" textlink="">
      <xdr:nvSpPr>
        <xdr:cNvPr id="2" name="TextBox 1">
          <a:extLst>
            <a:ext uri="{FF2B5EF4-FFF2-40B4-BE49-F238E27FC236}">
              <a16:creationId xmlns:a16="http://schemas.microsoft.com/office/drawing/2014/main" id="{E2DB5442-018F-4F37-A47F-47173D3D56D7}"/>
            </a:ext>
          </a:extLst>
        </xdr:cNvPr>
        <xdr:cNvSpPr txBox="1"/>
      </xdr:nvSpPr>
      <xdr:spPr>
        <a:xfrm>
          <a:off x="604837" y="414336"/>
          <a:ext cx="6367463" cy="3624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b-NO"/>
            <a:t>SAS AB</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604837</xdr:colOff>
      <xdr:row>2</xdr:row>
      <xdr:rowOff>33336</xdr:rowOff>
    </xdr:from>
    <xdr:to>
      <xdr:col>10</xdr:col>
      <xdr:colOff>104775</xdr:colOff>
      <xdr:row>21</xdr:row>
      <xdr:rowOff>38100</xdr:rowOff>
    </xdr:to>
    <xdr:sp macro="" textlink="">
      <xdr:nvSpPr>
        <xdr:cNvPr id="2" name="TextBox 1">
          <a:extLst>
            <a:ext uri="{FF2B5EF4-FFF2-40B4-BE49-F238E27FC236}">
              <a16:creationId xmlns:a16="http://schemas.microsoft.com/office/drawing/2014/main" id="{6B428773-A6E8-446A-BB14-FE0137490958}"/>
            </a:ext>
          </a:extLst>
        </xdr:cNvPr>
        <xdr:cNvSpPr txBox="1"/>
      </xdr:nvSpPr>
      <xdr:spPr>
        <a:xfrm>
          <a:off x="604837" y="414336"/>
          <a:ext cx="6367463" cy="3624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b-NO"/>
            <a:t>SAS AB</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604837</xdr:colOff>
      <xdr:row>2</xdr:row>
      <xdr:rowOff>33336</xdr:rowOff>
    </xdr:from>
    <xdr:to>
      <xdr:col>10</xdr:col>
      <xdr:colOff>104775</xdr:colOff>
      <xdr:row>21</xdr:row>
      <xdr:rowOff>38100</xdr:rowOff>
    </xdr:to>
    <xdr:sp macro="" textlink="">
      <xdr:nvSpPr>
        <xdr:cNvPr id="2" name="TextBox 1">
          <a:extLst>
            <a:ext uri="{FF2B5EF4-FFF2-40B4-BE49-F238E27FC236}">
              <a16:creationId xmlns:a16="http://schemas.microsoft.com/office/drawing/2014/main" id="{B82828C1-65C3-49E1-8200-D8B6A5691851}"/>
            </a:ext>
          </a:extLst>
        </xdr:cNvPr>
        <xdr:cNvSpPr txBox="1"/>
      </xdr:nvSpPr>
      <xdr:spPr>
        <a:xfrm>
          <a:off x="604837" y="414336"/>
          <a:ext cx="6367463" cy="3624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b-NO"/>
            <a:t>SAS AB</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604837</xdr:colOff>
      <xdr:row>2</xdr:row>
      <xdr:rowOff>33336</xdr:rowOff>
    </xdr:from>
    <xdr:to>
      <xdr:col>10</xdr:col>
      <xdr:colOff>104775</xdr:colOff>
      <xdr:row>21</xdr:row>
      <xdr:rowOff>38100</xdr:rowOff>
    </xdr:to>
    <xdr:sp macro="" textlink="">
      <xdr:nvSpPr>
        <xdr:cNvPr id="2" name="TextBox 1">
          <a:extLst>
            <a:ext uri="{FF2B5EF4-FFF2-40B4-BE49-F238E27FC236}">
              <a16:creationId xmlns:a16="http://schemas.microsoft.com/office/drawing/2014/main" id="{01D4CF8F-1119-4A0C-A601-C507A34E3817}"/>
            </a:ext>
          </a:extLst>
        </xdr:cNvPr>
        <xdr:cNvSpPr txBox="1"/>
      </xdr:nvSpPr>
      <xdr:spPr>
        <a:xfrm>
          <a:off x="604837" y="414336"/>
          <a:ext cx="6367463" cy="3624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b-NO"/>
            <a:t>SAS AB</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604837</xdr:colOff>
      <xdr:row>2</xdr:row>
      <xdr:rowOff>33336</xdr:rowOff>
    </xdr:from>
    <xdr:to>
      <xdr:col>10</xdr:col>
      <xdr:colOff>104775</xdr:colOff>
      <xdr:row>21</xdr:row>
      <xdr:rowOff>38100</xdr:rowOff>
    </xdr:to>
    <xdr:sp macro="" textlink="">
      <xdr:nvSpPr>
        <xdr:cNvPr id="2" name="TextBox 1">
          <a:extLst>
            <a:ext uri="{FF2B5EF4-FFF2-40B4-BE49-F238E27FC236}">
              <a16:creationId xmlns:a16="http://schemas.microsoft.com/office/drawing/2014/main" id="{5D55CD85-012D-4F84-A9D4-D836D8386ED3}"/>
            </a:ext>
          </a:extLst>
        </xdr:cNvPr>
        <xdr:cNvSpPr txBox="1"/>
      </xdr:nvSpPr>
      <xdr:spPr>
        <a:xfrm>
          <a:off x="604837" y="414336"/>
          <a:ext cx="6367463" cy="3624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b-NO"/>
            <a:t>SAS AB</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604837</xdr:colOff>
      <xdr:row>2</xdr:row>
      <xdr:rowOff>33336</xdr:rowOff>
    </xdr:from>
    <xdr:to>
      <xdr:col>10</xdr:col>
      <xdr:colOff>104775</xdr:colOff>
      <xdr:row>21</xdr:row>
      <xdr:rowOff>38100</xdr:rowOff>
    </xdr:to>
    <xdr:sp macro="" textlink="">
      <xdr:nvSpPr>
        <xdr:cNvPr id="2" name="TextBox 1">
          <a:extLst>
            <a:ext uri="{FF2B5EF4-FFF2-40B4-BE49-F238E27FC236}">
              <a16:creationId xmlns:a16="http://schemas.microsoft.com/office/drawing/2014/main" id="{E401748D-C4CF-406D-8EB9-B64A11E0D878}"/>
            </a:ext>
          </a:extLst>
        </xdr:cNvPr>
        <xdr:cNvSpPr txBox="1"/>
      </xdr:nvSpPr>
      <xdr:spPr>
        <a:xfrm>
          <a:off x="604837" y="414336"/>
          <a:ext cx="6367463" cy="3624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b-NO"/>
            <a:t>SAS AB</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604837</xdr:colOff>
      <xdr:row>2</xdr:row>
      <xdr:rowOff>33336</xdr:rowOff>
    </xdr:from>
    <xdr:to>
      <xdr:col>10</xdr:col>
      <xdr:colOff>104775</xdr:colOff>
      <xdr:row>21</xdr:row>
      <xdr:rowOff>38100</xdr:rowOff>
    </xdr:to>
    <xdr:sp macro="" textlink="">
      <xdr:nvSpPr>
        <xdr:cNvPr id="2" name="TextBox 1">
          <a:extLst>
            <a:ext uri="{FF2B5EF4-FFF2-40B4-BE49-F238E27FC236}">
              <a16:creationId xmlns:a16="http://schemas.microsoft.com/office/drawing/2014/main" id="{A187703B-BB2C-4F09-AFE2-3CDBF7F9CFD3}"/>
            </a:ext>
          </a:extLst>
        </xdr:cNvPr>
        <xdr:cNvSpPr txBox="1"/>
      </xdr:nvSpPr>
      <xdr:spPr>
        <a:xfrm>
          <a:off x="604837" y="414336"/>
          <a:ext cx="6367463" cy="3624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b-NO"/>
            <a:t>SAS AB</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604837</xdr:colOff>
      <xdr:row>2</xdr:row>
      <xdr:rowOff>33336</xdr:rowOff>
    </xdr:from>
    <xdr:to>
      <xdr:col>10</xdr:col>
      <xdr:colOff>104775</xdr:colOff>
      <xdr:row>21</xdr:row>
      <xdr:rowOff>38100</xdr:rowOff>
    </xdr:to>
    <xdr:sp macro="" textlink="">
      <xdr:nvSpPr>
        <xdr:cNvPr id="2" name="TextBox 1">
          <a:extLst>
            <a:ext uri="{FF2B5EF4-FFF2-40B4-BE49-F238E27FC236}">
              <a16:creationId xmlns:a16="http://schemas.microsoft.com/office/drawing/2014/main" id="{96BADA5F-A8B8-4D1E-8ECD-8B6CAA120DE3}"/>
            </a:ext>
          </a:extLst>
        </xdr:cNvPr>
        <xdr:cNvSpPr txBox="1"/>
      </xdr:nvSpPr>
      <xdr:spPr>
        <a:xfrm>
          <a:off x="604837" y="414336"/>
          <a:ext cx="6367463" cy="3624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b-NO"/>
            <a:t>SAS AB</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13">
  <a r="1" c="158">
    <v t="i">0</v>
    <v t="i">4</v>
    <v t="i">5</v>
    <v t="i">6</v>
    <v t="i">7</v>
    <v t="i">10</v>
    <v t="i">11</v>
    <v t="i">12</v>
    <v t="i">13</v>
    <v t="i">14</v>
    <v t="i">17</v>
    <v t="i">18</v>
    <v t="i">19</v>
    <v t="i">20</v>
    <v t="i">21</v>
    <v t="i">24</v>
    <v t="i">25</v>
    <v t="i">26</v>
    <v t="i">27</v>
    <v t="i">28</v>
    <v t="i">31</v>
    <v t="i">32</v>
    <v t="i">33</v>
    <v t="i">34</v>
    <v t="i">35</v>
    <v t="i">38</v>
    <v t="i">39</v>
    <v t="i">40</v>
    <v t="i">41</v>
    <v t="i">42</v>
    <v t="i">45</v>
    <v t="i">46</v>
    <v t="i">47</v>
    <v t="i">48</v>
    <v t="i">49</v>
    <v t="i">52</v>
    <v t="i">53</v>
    <v t="i">54</v>
    <v t="i">55</v>
    <v t="i">56</v>
    <v t="i">59</v>
    <v t="i">60</v>
    <v t="i">61</v>
    <v t="i">62</v>
    <v t="i">63</v>
    <v t="i">66</v>
    <v t="i">67</v>
    <v t="i">68</v>
    <v t="i">69</v>
    <v t="i">70</v>
    <v t="i">73</v>
    <v t="i">74</v>
    <v t="i">75</v>
    <v t="i">76</v>
    <v t="i">77</v>
    <v t="i">80</v>
    <v t="i">81</v>
    <v t="i">82</v>
    <v t="i">83</v>
    <v t="i">84</v>
    <v t="i">87</v>
    <v t="i">88</v>
    <v t="i">89</v>
    <v t="i">95</v>
    <v t="i">96</v>
    <v t="i">97</v>
    <v t="i">98</v>
    <v t="i">101</v>
    <v t="i">102</v>
    <v t="i">103</v>
    <v t="i">104</v>
    <v t="i">105</v>
    <v t="i">108</v>
    <v t="i">109</v>
    <v t="i">110</v>
    <v t="i">111</v>
    <v t="i">112</v>
    <v t="i">115</v>
    <v t="i">116</v>
    <v t="i">117</v>
    <v t="i">118</v>
    <v t="i">119</v>
    <v t="i">122</v>
    <v t="i">123</v>
    <v t="i">125</v>
    <v t="i">126</v>
    <v t="i">129</v>
    <v t="i">130</v>
    <v t="i">131</v>
    <v t="i">133</v>
    <v t="i">136</v>
    <v t="i">137</v>
    <v t="i">138</v>
    <v t="i">139</v>
    <v t="i">144</v>
    <v t="i">145</v>
    <v t="i">146</v>
    <v t="i">147</v>
    <v t="i">150</v>
    <v t="i">151</v>
    <v t="i">152</v>
    <v t="i">153</v>
    <v t="i">154</v>
    <v t="i">157</v>
    <v t="i">158</v>
    <v t="i">159</v>
    <v t="i">160</v>
    <v t="i">161</v>
    <v t="i">164</v>
    <v t="i">165</v>
    <v t="i">166</v>
    <v t="i">167</v>
    <v t="i">168</v>
    <v t="i">171</v>
    <v t="i">172</v>
    <v t="i">173</v>
    <v t="i">174</v>
    <v t="i">175</v>
    <v t="i">178</v>
    <v t="i">179</v>
    <v t="i">180</v>
    <v t="i">181</v>
    <v t="i">182</v>
    <v t="i">185</v>
    <v t="i">186</v>
    <v t="i">187</v>
    <v t="i">188</v>
    <v t="i">189</v>
    <v t="i">192</v>
    <v t="i">193</v>
    <v t="i">194</v>
    <v t="i">195</v>
    <v t="i">196</v>
    <v t="i">199</v>
    <v t="i">200</v>
    <v t="i">201</v>
    <v t="i">202</v>
    <v t="i">203</v>
    <v t="i">206</v>
    <v t="i">207</v>
    <v t="i">208</v>
    <v t="i">209</v>
    <v t="i">210</v>
    <v t="i">213</v>
    <v t="i">214</v>
    <v t="i">215</v>
    <v t="i">216</v>
    <v t="i">217</v>
    <v t="i">220</v>
    <v t="i">221</v>
    <v t="i">222</v>
    <v t="i">223</v>
    <v t="i">224</v>
    <v t="i">227</v>
    <v t="i">228</v>
    <v t="i">229</v>
    <v t="i">230</v>
    <v t="i">231</v>
  </a>
  <a r="1" c="158">
    <v>1768087</v>
    <v>2435757</v>
    <v>2756934</v>
    <v>5989433</v>
    <v>1714589</v>
    <v>2124723</v>
    <v>4567442</v>
    <v>3237572</v>
    <v>3260129</v>
    <v>3256233</v>
    <v>2407306</v>
    <v>3984814</v>
    <v>4225321</v>
    <v>4653582</v>
    <v>3824795</v>
    <v>3597457</v>
    <v>7979875</v>
    <v>7246308</v>
    <v>3875184</v>
    <v>2052909</v>
    <v>2346345</v>
    <v>2540627</v>
    <v>2983052</v>
    <v>2211694</v>
    <v>1710619</v>
    <v>2885960</v>
    <v>2691934</v>
    <v>3011580</v>
    <v>3039136</v>
    <v>2654423</v>
    <v>1779206</v>
    <v>4072220</v>
    <v>4352729</v>
    <v>3485978</v>
    <v>3666748</v>
    <v>2537061</v>
    <v>2664162</v>
    <v>3891420</v>
    <v>3111026</v>
    <v>2155683</v>
    <v>2979588</v>
    <v>2895886</v>
    <v>3462286</v>
    <v>6703797</v>
    <v>3459814</v>
    <v>2548685</v>
    <v>2529020</v>
    <v>2499781</v>
    <v>3873385</v>
    <v>2690407</v>
    <v>2266806</v>
    <v>4399807</v>
    <v>5098193</v>
    <v>5696833</v>
    <v>10654563</v>
    <v>3664939</v>
    <v>2803288</v>
    <v>4189160</v>
    <v>3918584</v>
    <v>3125816</v>
    <v>4813341</v>
    <v>3038659</v>
    <v>3487690</v>
    <v>10365635</v>
    <v>6334623</v>
    <v>6140672</v>
    <v>3479033</v>
    <v>6120938</v>
    <v>4554466</v>
    <v>4658178</v>
    <v>4225511</v>
    <v>6045927</v>
    <v>7551147</v>
    <v>4819641</v>
    <v>3918472</v>
    <v>3092039</v>
    <v>4190750</v>
    <v>4698116</v>
    <v>5693962</v>
    <v>6717822</v>
    <v>4591080</v>
    <v>4235267</v>
    <v>4016262</v>
    <v>5254223</v>
    <v>5192253</v>
    <v>3925332</v>
    <v>4008800</v>
    <v>3376546</v>
    <v>4321097</v>
    <v>4123331</v>
    <v>4128866</v>
    <v>4028777</v>
    <v>3135583</v>
    <v>3764152</v>
    <v>9019282</v>
    <v>5087075</v>
    <v>2482705</v>
    <v>2711988</v>
    <v>1541960</v>
    <v>4180410</v>
    <v>6398675</v>
    <v>4405473</v>
    <v>9613738</v>
    <v>2022074</v>
    <v>5163530</v>
    <v>5840955</v>
    <v>1999280</v>
    <v>3672331</v>
    <v>2333264</v>
    <v>2620109</v>
    <v>2019786</v>
    <v>5719664</v>
    <v>4391685</v>
    <v>4471162</v>
    <v>3902935</v>
    <v>5152017</v>
    <v>4679990</v>
    <v>6548268</v>
    <v>2406274</v>
    <v>3534491</v>
    <v>3152427</v>
    <v>2792954</v>
    <v>3005067</v>
    <v>2544729</v>
    <v>3370258</v>
    <v>4186686</v>
    <v>1835832</v>
    <v>2769807</v>
    <v>3614706</v>
    <v>3433149</v>
    <v>2989383</v>
    <v>3202996</v>
    <v>3757327</v>
    <v>4207151</v>
    <v>3327868</v>
    <v>2568737</v>
    <v>3250089</v>
    <v>4112739</v>
    <v>3107518</v>
    <v>8255576</v>
    <v>4250032</v>
    <v>5381382</v>
    <v>3597069</v>
    <v>2624147</v>
    <v>5385434</v>
    <v>6751798</v>
    <v>4529981</v>
    <v>3869939</v>
    <v>5789068</v>
    <v>4359377</v>
    <v>3398545</v>
    <v>3080574</v>
    <v>3093447</v>
    <v>2626042</v>
    <v>2860715</v>
    <v>2779513</v>
    <v>2900745</v>
    <v>4958608</v>
  </a>
  <a r="1" c="157">
    <v t="i">3</v>
    <v t="i">4</v>
    <v t="i">5</v>
    <v t="i">6</v>
    <v t="i">9</v>
    <v t="i">10</v>
    <v t="i">11</v>
    <v t="i">12</v>
    <v t="i">13</v>
    <v t="i">16</v>
    <v t="i">17</v>
    <v t="i">18</v>
    <v t="i">19</v>
    <v t="i">20</v>
    <v t="i">23</v>
    <v t="i">24</v>
    <v t="i">25</v>
    <v t="i">26</v>
    <v t="i">27</v>
    <v t="i">30</v>
    <v t="i">31</v>
    <v t="i">32</v>
    <v t="i">33</v>
    <v t="i">34</v>
    <v t="i">37</v>
    <v t="i">38</v>
    <v t="i">39</v>
    <v t="i">40</v>
    <v t="i">41</v>
    <v t="i">44</v>
    <v t="i">45</v>
    <v t="i">46</v>
    <v t="i">47</v>
    <v t="i">48</v>
    <v t="i">51</v>
    <v t="i">52</v>
    <v t="i">53</v>
    <v t="i">54</v>
    <v t="i">55</v>
    <v t="i">58</v>
    <v t="i">59</v>
    <v t="i">60</v>
    <v t="i">61</v>
    <v t="i">62</v>
    <v t="i">65</v>
    <v t="i">66</v>
    <v t="i">67</v>
    <v t="i">68</v>
    <v t="i">69</v>
    <v t="i">72</v>
    <v t="i">73</v>
    <v t="i">74</v>
    <v t="i">75</v>
    <v t="i">76</v>
    <v t="i">79</v>
    <v t="i">80</v>
    <v t="i">81</v>
    <v t="i">82</v>
    <v t="i">83</v>
    <v t="i">86</v>
    <v t="i">87</v>
    <v t="i">88</v>
    <v t="i">94</v>
    <v t="i">95</v>
    <v t="i">96</v>
    <v t="i">97</v>
    <v t="i">100</v>
    <v t="i">101</v>
    <v t="i">102</v>
    <v t="i">103</v>
    <v t="i">104</v>
    <v t="i">107</v>
    <v t="i">108</v>
    <v t="i">109</v>
    <v t="i">110</v>
    <v t="i">111</v>
    <v t="i">114</v>
    <v t="i">115</v>
    <v t="i">116</v>
    <v t="i">117</v>
    <v t="i">118</v>
    <v t="i">121</v>
    <v t="i">122</v>
    <v t="i">124</v>
    <v t="i">125</v>
    <v t="i">128</v>
    <v t="i">129</v>
    <v t="i">130</v>
    <v t="i">132</v>
    <v t="i">135</v>
    <v t="i">136</v>
    <v t="i">137</v>
    <v t="i">138</v>
    <v t="i">143</v>
    <v t="i">144</v>
    <v t="i">145</v>
    <v t="i">146</v>
    <v t="i">149</v>
    <v t="i">150</v>
    <v t="i">151</v>
    <v t="i">152</v>
    <v t="i">153</v>
    <v t="i">156</v>
    <v t="i">157</v>
    <v t="i">158</v>
    <v t="i">159</v>
    <v t="i">160</v>
    <v t="i">163</v>
    <v t="i">164</v>
    <v t="i">165</v>
    <v t="i">166</v>
    <v t="i">167</v>
    <v t="i">170</v>
    <v t="i">171</v>
    <v t="i">172</v>
    <v t="i">173</v>
    <v t="i">174</v>
    <v t="i">177</v>
    <v t="i">178</v>
    <v t="i">179</v>
    <v t="i">180</v>
    <v t="i">181</v>
    <v t="i">184</v>
    <v t="i">185</v>
    <v t="i">186</v>
    <v t="i">187</v>
    <v t="i">188</v>
    <v t="i">191</v>
    <v t="i">192</v>
    <v t="i">193</v>
    <v t="i">194</v>
    <v t="i">195</v>
    <v t="i">198</v>
    <v t="i">199</v>
    <v t="i">200</v>
    <v t="i">201</v>
    <v t="i">202</v>
    <v t="i">205</v>
    <v t="i">206</v>
    <v t="i">207</v>
    <v t="i">208</v>
    <v t="i">209</v>
    <v t="i">212</v>
    <v t="i">213</v>
    <v t="i">214</v>
    <v t="i">215</v>
    <v t="i">216</v>
    <v t="i">219</v>
    <v t="i">220</v>
    <v t="i">221</v>
    <v t="i">222</v>
    <v t="i">223</v>
    <v t="i">226</v>
    <v t="i">227</v>
    <v t="i">228</v>
    <v t="i">229</v>
    <v t="i">230</v>
  </a>
  <a r="1" c="157">
    <v>68.28</v>
    <v>65.92</v>
    <v>65.819999999999993</v>
    <v>66.78</v>
    <v>66.12</v>
    <v>66.56</v>
    <v>66.12</v>
    <v>65.5</v>
    <v>63.92</v>
    <v>62.64</v>
    <v>62.28</v>
    <v>60.34</v>
    <v>60.2</v>
    <v>59.46</v>
    <v>58.88</v>
    <v>63.04</v>
    <v>62.24</v>
    <v>61.92</v>
    <v>62.76</v>
    <v>62.86</v>
    <v>61.5</v>
    <v>61.94</v>
    <v>61.96</v>
    <v>61.08</v>
    <v>59.26</v>
    <v>60.76</v>
    <v>59.24</v>
    <v>59.34</v>
    <v>58.46</v>
    <v>59.02</v>
    <v>57.72</v>
    <v>56.28</v>
    <v>56</v>
    <v>58.3</v>
    <v>57.04</v>
    <v>56.62</v>
    <v>57.02</v>
    <v>56.96</v>
    <v>56.16</v>
    <v>56.12</v>
    <v>56.14</v>
    <v>54.54</v>
    <v>54.54</v>
    <v>54.86</v>
    <v>54.48</v>
    <v>53.6</v>
    <v>54.12</v>
    <v>55.82</v>
    <v>55.8</v>
    <v>55.06</v>
    <v>56.88</v>
    <v>57.84</v>
    <v>57.6</v>
    <v>58</v>
    <v>58.22</v>
    <v>58.1</v>
    <v>59.26</v>
    <v>60.82</v>
    <v>60.9</v>
    <v>60.1</v>
    <v>60.12</v>
    <v>59.4</v>
    <v>62.74</v>
    <v>65.959999999999994</v>
    <v>67.540000000000006</v>
    <v>66.94</v>
    <v>67.900000000000006</v>
    <v>68.52</v>
    <v>68.5</v>
    <v>68</v>
    <v>71.599999999999994</v>
    <v>72.180000000000007</v>
    <v>69.48</v>
    <v>71.34</v>
    <v>71.14</v>
    <v>70.72</v>
    <v>69.680000000000007</v>
    <v>67.94</v>
    <v>67.52</v>
    <v>67.819999999999993</v>
    <v>69.94</v>
    <v>69.92</v>
    <v>68.900000000000006</v>
    <v>67.8</v>
    <v>69.34</v>
    <v>70.06</v>
    <v>70.06</v>
    <v>65.98</v>
    <v>66.599999999999994</v>
    <v>67.819999999999993</v>
    <v>67.8</v>
    <v>66.959999999999994</v>
    <v>67.16</v>
    <v>71.44</v>
    <v>69</v>
    <v>68.58</v>
    <v>68.86</v>
    <v>69</v>
    <v>70.92</v>
    <v>69.48</v>
    <v>69.599999999999994</v>
    <v>70.92</v>
    <v>71.02</v>
    <v>69.56</v>
    <v>67.540000000000006</v>
    <v>68.760000000000005</v>
    <v>67.7</v>
    <v>68.64</v>
    <v>66.52</v>
    <v>67.34</v>
    <v>66.8</v>
    <v>64.84</v>
    <v>63.34</v>
    <v>64.099999999999994</v>
    <v>64.02</v>
    <v>65.099999999999994</v>
    <v>64.819999999999993</v>
    <v>66.38</v>
    <v>64.7</v>
    <v>65.72</v>
    <v>66.02</v>
    <v>66.5</v>
    <v>66.8</v>
    <v>66.28</v>
    <v>67.62</v>
    <v>67.58</v>
    <v>67.400000000000006</v>
    <v>66.56</v>
    <v>67.14</v>
    <v>66.94</v>
    <v>67.22</v>
    <v>69.06</v>
    <v>66.48</v>
    <v>65.760000000000005</v>
    <v>65.680000000000007</v>
    <v>65.56</v>
    <v>63.5</v>
    <v>63.86</v>
    <v>60.88</v>
    <v>61</v>
    <v>60.14</v>
    <v>60.68</v>
    <v>59.88</v>
    <v>58.92</v>
    <v>60.4</v>
    <v>59.06</v>
    <v>57.42</v>
    <v>55.28</v>
    <v>55.5</v>
    <v>56.58</v>
    <v>55.82</v>
    <v>56.86</v>
    <v>57.4</v>
    <v>56.92</v>
    <v>57.4</v>
    <v>57.4</v>
    <v>57.98</v>
  </a>
  <a r="1" c="158">
    <v>70.2</v>
    <v>71.849999999999994</v>
    <v>72.099999999999994</v>
    <v>73.650000000000006</v>
    <v>71.900000000000006</v>
    <v>70.3</v>
    <v>70.650000000000006</v>
    <v>71.2</v>
    <v>68.3</v>
    <v>71.150000000000006</v>
    <v>71</v>
    <v>71.05</v>
    <v>72.75</v>
    <v>74.349999999999994</v>
    <v>76.349999999999994</v>
    <v>77.2</v>
    <v>76.599999999999994</v>
    <v>78.55</v>
    <v>78.25</v>
    <v>77.849999999999994</v>
    <v>78</v>
    <v>77.349999999999994</v>
    <v>76.8</v>
    <v>78.55</v>
    <v>75.95</v>
    <v>75.25</v>
    <v>76</v>
    <v>73.7</v>
    <v>75</v>
    <v>74.45</v>
    <v>76.3</v>
    <v>76.849999999999994</v>
    <v>77.55</v>
    <v>76.05</v>
    <v>77.8</v>
    <v>77.349999999999994</v>
    <v>76</v>
    <v>75.75</v>
    <v>74.3</v>
    <v>75.099999999999994</v>
    <v>76.849999999999994</v>
    <v>76.400000000000006</v>
    <v>77.75</v>
    <v>78.099999999999994</v>
    <v>78.05</v>
    <v>77.099999999999994</v>
    <v>75.05</v>
    <v>75.400000000000006</v>
    <v>76.650000000000006</v>
    <v>75.55</v>
    <v>71.650000000000006</v>
    <v>72.05</v>
    <v>76.55</v>
    <v>77.55</v>
    <v>77.599999999999994</v>
    <v>76.349999999999994</v>
    <v>77.05</v>
    <v>74</v>
    <v>74.650000000000006</v>
    <v>74.55</v>
    <v>75.650000000000006</v>
    <v>74.45</v>
    <v>74.650000000000006</v>
    <v>75.650000000000006</v>
    <v>77.150000000000006</v>
    <v>77</v>
    <v>-99999901</v>
    <v>-99999901</v>
    <v>78.7</v>
    <v>78.900000000000006</v>
    <v>80.75</v>
    <v>81.8</v>
    <v>81.349999999999994</v>
    <v>81.099999999999994</v>
    <v>83.2</v>
    <v>80.849999999999994</v>
    <v>81.150000000000006</v>
    <v>80.849999999999994</v>
    <v>81.599999999999994</v>
    <v>82.4</v>
    <v>81.95</v>
    <v>83.85</v>
    <v>83.85</v>
    <v>84.2</v>
    <v>84.4</v>
    <v>84.7</v>
    <v>85.7</v>
    <v>84.75</v>
    <v>86.9</v>
    <v>88.35</v>
    <v>88.9</v>
    <v>89.75</v>
    <v>89</v>
    <v>89.05</v>
    <v>90.45</v>
    <v>87.5</v>
    <v>88.85</v>
    <v>89.6</v>
    <v>90.65</v>
    <v>89</v>
    <v>89.55</v>
    <v>91.05</v>
    <v>91.95</v>
    <v>91.25</v>
    <v>89.95</v>
    <v>88.2</v>
    <v>87.55</v>
    <v>88.3</v>
    <v>88.8</v>
    <v>83.9</v>
    <v>83.25</v>
    <v>81</v>
    <v>79.650000000000006</v>
    <v>81</v>
    <v>81.900000000000006</v>
    <v>81.55</v>
    <v>82.45</v>
    <v>83.15</v>
    <v>84.7</v>
    <v>84</v>
    <v>87.55</v>
    <v>88</v>
    <v>89.7</v>
    <v>87</v>
    <v>88.95</v>
    <v>87.5</v>
    <v>86.5</v>
    <v>85.45</v>
    <v>84.3</v>
    <v>84.85</v>
    <v>85.45</v>
    <v>83</v>
    <v>82.25</v>
    <v>83.35</v>
    <v>83.8</v>
    <v>83</v>
    <v>83.55</v>
    <v>83.3</v>
    <v>86.25</v>
    <v>87.2</v>
    <v>86.65</v>
    <v>84</v>
    <v>83.15</v>
    <v>86.05</v>
    <v>86</v>
    <v>86.4</v>
    <v>85.65</v>
    <v>81.3</v>
    <v>79.45</v>
    <v>80.8</v>
    <v>82</v>
    <v>81.25</v>
    <v>81.599999999999994</v>
    <v>82.15</v>
    <v>81.45</v>
    <v>82.15</v>
    <v>82.3</v>
    <v>83.05</v>
  </a>
  <a r="1" c="158">
    <v>322.14999999999998</v>
    <v>326.35000000000002</v>
    <v>329.3</v>
    <v>334.95</v>
    <v>333.75</v>
    <v>318.8</v>
    <v>317.7</v>
    <v>313.14999999999998</v>
    <v>311.10000000000002</v>
    <v>315</v>
    <v>306.25</v>
    <v>307.05</v>
    <v>302.55</v>
    <v>299.2</v>
    <v>297.8</v>
    <v>293.7</v>
    <v>296.89999999999998</v>
    <v>296.14999999999998</v>
    <v>298.85000000000002</v>
    <v>301.60000000000002</v>
    <v>301.8</v>
    <v>301.45</v>
    <v>302.64999999999998</v>
    <v>305.10000000000002</v>
    <v>301.10000000000002</v>
    <v>300.95</v>
    <v>308.55</v>
    <v>284.60000000000002</v>
    <v>278.64999999999998</v>
    <v>277.55</v>
    <v>277.95</v>
    <v>271.45</v>
    <v>264</v>
    <v>261.95</v>
    <v>266.05</v>
    <v>267.60000000000002</v>
    <v>264.25</v>
    <v>263.89999999999998</v>
    <v>267.3</v>
    <v>265.39999999999998</v>
    <v>263</v>
    <v>262.3</v>
    <v>264.39999999999998</v>
    <v>261.64999999999998</v>
    <v>264</v>
    <v>262.89999999999998</v>
    <v>268.89999999999998</v>
    <v>273.10000000000002</v>
    <v>269.55</v>
    <v>271</v>
    <v>268.35000000000002</v>
    <v>270.25</v>
    <v>274.95</v>
    <v>276</v>
    <v>277.55</v>
    <v>280.3</v>
    <v>282.64999999999998</v>
    <v>282.7</v>
    <v>284.60000000000002</v>
    <v>286.8</v>
    <v>291</v>
    <v>286.55</v>
    <v>286.39999999999998</v>
    <v>297.89999999999998</v>
    <v>299.2</v>
    <v>299.55</v>
    <v>299.89999999999998</v>
    <v>296.10000000000002</v>
    <v>297.45</v>
    <v>299.95</v>
    <v>304.2</v>
    <v>313.89999999999998</v>
    <v>304.39999999999998</v>
    <v>303</v>
    <v>301.75</v>
    <v>300.39999999999998</v>
    <v>299</v>
    <v>296.8</v>
    <v>294.10000000000002</v>
    <v>297.7</v>
    <v>305</v>
    <v>303.64999999999998</v>
    <v>300.14999999999998</v>
    <v>298.95</v>
    <v>299.2</v>
    <v>298.10000000000002</v>
    <v>305.5</v>
    <v>305.64999999999998</v>
    <v>304.7</v>
    <v>312.75</v>
    <v>308.60000000000002</v>
    <v>309.05</v>
    <v>298.7</v>
    <v>298.8</v>
    <v>305.8</v>
    <v>304.10000000000002</v>
    <v>310.45</v>
    <v>302</v>
    <v>303.64999999999998</v>
    <v>301.64999999999998</v>
    <v>300.5</v>
    <v>298</v>
    <v>302.85000000000002</v>
    <v>303.85000000000002</v>
    <v>292.10000000000002</v>
    <v>294.7</v>
    <v>294.3</v>
    <v>298.14999999999998</v>
    <v>299.14999999999998</v>
    <v>298.35000000000002</v>
    <v>298.55</v>
    <v>291.2</v>
    <v>289.7</v>
    <v>288.75</v>
    <v>290.39999999999998</v>
    <v>289.60000000000002</v>
    <v>292.95</v>
    <v>292.89999999999998</v>
    <v>293.95</v>
    <v>296.3</v>
    <v>298.75</v>
    <v>302</v>
    <v>303.95</v>
    <v>305.5</v>
    <v>306.25</v>
    <v>305.75</v>
    <v>306.39999999999998</v>
    <v>303.2</v>
    <v>294.5</v>
    <v>291.75</v>
    <v>288.35000000000002</v>
    <v>287.85000000000002</v>
    <v>290.35000000000002</v>
    <v>290.5</v>
    <v>287.95</v>
    <v>292.39999999999998</v>
    <v>296.95</v>
    <v>294.14999999999998</v>
    <v>291.95</v>
    <v>288.75</v>
    <v>288</v>
    <v>284.39999999999998</v>
    <v>284.75</v>
    <v>286</v>
    <v>282.5</v>
    <v>290</v>
    <v>290.14999999999998</v>
    <v>285</v>
    <v>276.95</v>
    <v>278.5</v>
    <v>284.3</v>
    <v>292</v>
    <v>294.60000000000002</v>
    <v>304</v>
    <v>296.95</v>
    <v>296.10000000000002</v>
    <v>297.14999999999998</v>
    <v>290.45</v>
  </a>
  <a r="1" c="158">
    <v>82.15</v>
    <v>78.349999999999994</v>
    <v>75.650000000000006</v>
    <v>74.75</v>
    <v>74.900000000000006</v>
    <v>74.599999999999994</v>
    <v>74.45</v>
    <v>73.75</v>
    <v>76.150000000000006</v>
    <v>75.2</v>
    <v>73.849999999999994</v>
    <v>71.75</v>
    <v>68.2</v>
    <v>68.5</v>
    <v>66.75</v>
    <v>67.150000000000006</v>
    <v>70.45</v>
    <v>72.2</v>
    <v>72.349999999999994</v>
    <v>77.8</v>
    <v>73.650000000000006</v>
    <v>75.599999999999994</v>
    <v>78.599999999999994</v>
    <v>78.8</v>
    <v>77.150000000000006</v>
    <v>72.55</v>
    <v>73</v>
    <v>70</v>
    <v>70.900000000000006</v>
    <v>70.25</v>
    <v>71.55</v>
    <v>70.05</v>
    <v>70.5</v>
    <v>72.150000000000006</v>
    <v>72.45</v>
    <v>72.7</v>
    <v>72.05</v>
    <v>69.8</v>
    <v>69.599999999999994</v>
    <v>66.95</v>
    <v>64.5</v>
    <v>64.849999999999994</v>
    <v>64.150000000000006</v>
    <v>65.650000000000006</v>
    <v>67.45</v>
    <v>67.7</v>
    <v>68</v>
    <v>66.5</v>
    <v>67.75</v>
    <v>68.2</v>
    <v>64.650000000000006</v>
    <v>64.400000000000006</v>
    <v>64.25</v>
    <v>69.2</v>
    <v>67.75</v>
    <v>66.849999999999994</v>
    <v>68.849999999999994</v>
    <v>71</v>
    <v>72.099999999999994</v>
    <v>73.599999999999994</v>
    <v>73</v>
    <v>72.349999999999994</v>
    <v>72.150000000000006</v>
    <v>72.150000000000006</v>
    <v>68.650000000000006</v>
    <v>73.150000000000006</v>
    <v>73.349999999999994</v>
    <v>75.25</v>
    <v>78.45</v>
    <v>75.5</v>
    <v>76.05</v>
    <v>76.400000000000006</v>
    <v>71.3</v>
    <v>70.05</v>
    <v>70.650000000000006</v>
    <v>69.7</v>
    <v>66.7</v>
    <v>67.3</v>
    <v>70.150000000000006</v>
    <v>70</v>
    <v>70.8</v>
    <v>74.05</v>
    <v>74.150000000000006</v>
    <v>81.55</v>
    <v>75.349999999999994</v>
    <v>76.2</v>
    <v>76.75</v>
    <v>77.2</v>
    <v>79.5</v>
    <v>79.25</v>
    <v>78.599999999999994</v>
    <v>78.150000000000006</v>
    <v>76.05</v>
    <v>76</v>
    <v>73.849999999999994</v>
    <v>77.900000000000006</v>
    <v>78.099999999999994</v>
    <v>76.900000000000006</v>
    <v>78.45</v>
    <v>79.55</v>
    <v>78.45</v>
    <v>86.5</v>
    <v>87.15</v>
    <v>86.4</v>
    <v>85</v>
    <v>86.75</v>
    <v>87</v>
    <v>85.05</v>
    <v>84</v>
    <v>83.4</v>
    <v>84.85</v>
    <v>84.9</v>
    <v>87.2</v>
    <v>87.3</v>
    <v>88.8</v>
    <v>88.9</v>
    <v>90.85</v>
    <v>89.2</v>
    <v>88.25</v>
    <v>88.45</v>
    <v>88.4</v>
    <v>86.4</v>
    <v>86.65</v>
    <v>85.9</v>
    <v>83.05</v>
    <v>82.95</v>
    <v>83.7</v>
    <v>83</v>
    <v>83</v>
    <v>83.3</v>
    <v>84.6</v>
    <v>86.45</v>
    <v>88.7</v>
    <v>87.75</v>
    <v>86.7</v>
    <v>86.05</v>
    <v>86.8</v>
    <v>86.4</v>
    <v>85.6</v>
    <v>86.55</v>
    <v>86.55</v>
    <v>87.45</v>
    <v>89.05</v>
    <v>89.15</v>
    <v>88.85</v>
    <v>88.1</v>
    <v>90</v>
    <v>86.85</v>
    <v>81.25</v>
    <v>87.5</v>
    <v>88.55</v>
    <v>85.2</v>
    <v>85.85</v>
    <v>84.6</v>
    <v>84.2</v>
    <v>87.95</v>
    <v>88</v>
    <v>85</v>
  </a>
  <a r="1" c="158">
    <v>84.7</v>
    <v>80.2</v>
    <v>78.349999999999994</v>
    <v>79.7</v>
    <v>78.3</v>
    <v>78.599999999999994</v>
    <v>78.95</v>
    <v>82</v>
    <v>82.35</v>
    <v>85.85</v>
    <v>82.2</v>
    <v>84.25</v>
    <v>82.25</v>
    <v>88.7</v>
    <v>89.5</v>
    <v>88.95</v>
    <v>93</v>
    <v>94</v>
    <v>89.1</v>
    <v>88.85</v>
    <v>87.9</v>
    <v>85.6</v>
    <v>89</v>
    <v>87.3</v>
    <v>86.8</v>
    <v>85.4</v>
    <v>86.6</v>
    <v>86.1</v>
    <v>85.95</v>
    <v>91.6</v>
    <v>93</v>
    <v>90.55</v>
    <v>84.2</v>
    <v>82.45</v>
    <v>83.3</v>
    <v>82.9</v>
    <v>77.400000000000006</v>
    <v>76.8</v>
    <v>79.75</v>
    <v>80.650000000000006</v>
    <v>81.8</v>
    <v>79.849999999999994</v>
    <v>77</v>
    <v>77</v>
    <v>75.45</v>
    <v>75</v>
    <v>74.05</v>
    <v>74.3</v>
    <v>75</v>
    <v>73.5</v>
    <v>72.7</v>
    <v>74.75</v>
    <v>75.7</v>
    <v>77.5</v>
    <v>76.900000000000006</v>
    <v>75.8</v>
    <v>76.7</v>
    <v>76.25</v>
    <v>76.5</v>
    <v>77.150000000000006</v>
    <v>79.150000000000006</v>
    <v>80.099999999999994</v>
    <v>79.900000000000006</v>
    <v>78</v>
    <v>76.45</v>
    <v>76.5</v>
    <v>72.900000000000006</v>
    <v>72.55</v>
    <v>72.95</v>
    <v>71.75</v>
    <v>71.45</v>
    <v>72.599999999999994</v>
    <v>69.45</v>
    <v>69.2</v>
    <v>73.099999999999994</v>
    <v>72.349999999999994</v>
    <v>70.849999999999994</v>
    <v>73.3</v>
    <v>74.8</v>
    <v>78.5</v>
    <v>78</v>
    <v>81</v>
    <v>82</v>
    <v>82.55</v>
    <v>85.5</v>
    <v>82.45</v>
    <v>86.55</v>
    <v>100</v>
    <v>102.9</v>
    <v>103.3</v>
    <v>100.3</v>
    <v>103.5</v>
    <v>104.1</v>
    <v>108.2</v>
    <v>107.3</v>
    <v>107.6</v>
    <v>107.5</v>
    <v>110.8</v>
    <v>108.6</v>
    <v>112.9</v>
    <v>112.9</v>
    <v>110.6</v>
    <v>112.6</v>
    <v>113.2</v>
    <v>109.9</v>
    <v>117.7</v>
    <v>116.7</v>
    <v>116.2</v>
    <v>118.3</v>
    <v>116</v>
    <v>117.5</v>
    <v>115.3</v>
    <v>111.5</v>
    <v>113.8</v>
    <v>116.4</v>
    <v>120.3</v>
    <v>121.4</v>
    <v>122.5</v>
    <v>121.4</v>
    <v>122.2</v>
    <v>121.1</v>
    <v>123.8</v>
    <v>125</v>
    <v>123.5</v>
    <v>124</v>
    <v>127.5</v>
    <v>125.7</v>
    <v>128.5</v>
    <v>127.4</v>
    <v>125</v>
    <v>127.3</v>
    <v>125.1</v>
    <v>126.7</v>
    <v>127.9</v>
    <v>128.9</v>
    <v>126.4</v>
    <v>129.30000000000001</v>
    <v>126.2</v>
    <v>127.3</v>
    <v>126.6</v>
    <v>124.3</v>
    <v>122.9</v>
    <v>122.5</v>
    <v>125.5</v>
    <v>128.6</v>
    <v>130.30000000000001</v>
    <v>130.1</v>
    <v>115</v>
    <v>111</v>
    <v>112.8</v>
    <v>115.4</v>
    <v>113</v>
    <v>114.9</v>
    <v>114.8</v>
    <v>116.4</v>
    <v>119.4</v>
    <v>120.6</v>
    <v>122.2</v>
  </a>
  <a r="1" c="158">
    <v>216</v>
    <v>213.1</v>
    <v>213.8</v>
    <v>216.7</v>
    <v>215.5</v>
    <v>216.4</v>
    <v>216</v>
    <v>214.6</v>
    <v>215</v>
    <v>216.6</v>
    <v>216</v>
    <v>210.2</v>
    <v>207.7</v>
    <v>210.5</v>
    <v>212.8</v>
    <v>216.6</v>
    <v>214.8</v>
    <v>214.3</v>
    <v>214.7</v>
    <v>215</v>
    <v>211.7</v>
    <v>211.1</v>
    <v>205.1</v>
    <v>205.2</v>
    <v>207.5</v>
    <v>205.4</v>
    <v>205.4</v>
    <v>202.8</v>
    <v>201.3</v>
    <v>200.8</v>
    <v>201.8</v>
    <v>201.7</v>
    <v>204.8</v>
    <v>203.6</v>
    <v>206.1</v>
    <v>206.8</v>
    <v>208.6</v>
    <v>205</v>
    <v>205.4</v>
    <v>207.3</v>
    <v>207</v>
    <v>209.7</v>
    <v>211.3</v>
    <v>212.3</v>
    <v>213.1</v>
    <v>212.5</v>
    <v>213.4</v>
    <v>213.3</v>
    <v>211.7</v>
    <v>212.5</v>
    <v>209.9</v>
    <v>212.5</v>
    <v>212.1</v>
    <v>211.8</v>
    <v>208</v>
    <v>211.1</v>
    <v>212.1</v>
    <v>212.6</v>
    <v>212.9</v>
    <v>212.6</v>
    <v>213.7</v>
    <v>213.4</v>
    <v>215.1</v>
    <v>215</v>
    <v>217.8</v>
    <v>213.1</v>
    <v>215.5</v>
    <v>216.6</v>
    <v>217</v>
    <v>219</v>
    <v>213.8</v>
    <v>216</v>
    <v>216.3</v>
    <v>211.7</v>
    <v>212.3</v>
    <v>211.3</v>
    <v>211.5</v>
    <v>210.5</v>
    <v>208.3</v>
    <v>207.3</v>
    <v>208.5</v>
    <v>207.9</v>
    <v>211.2</v>
    <v>194.1</v>
    <v>194.3</v>
    <v>196.65</v>
    <v>202.2</v>
    <v>203</v>
    <v>202.6</v>
    <v>203.7</v>
    <v>206.5</v>
    <v>203.6</v>
    <v>201</v>
    <v>203.4</v>
    <v>200.7</v>
    <v>201.9</v>
    <v>201.5</v>
    <v>205.4</v>
    <v>206.8</v>
    <v>206.7</v>
    <v>203.6</v>
    <v>204.1</v>
    <v>205.2</v>
    <v>205</v>
    <v>203.3</v>
    <v>202.9</v>
    <v>203.8</v>
    <v>202.5</v>
    <v>202.2</v>
    <v>202.6</v>
    <v>204.5</v>
    <v>202.9</v>
    <v>205.7</v>
    <v>208.2</v>
    <v>207.5</v>
    <v>209.3</v>
    <v>209.3</v>
    <v>208.5</v>
    <v>211</v>
    <v>210.2</v>
    <v>207.2</v>
    <v>207.5</v>
    <v>209.7</v>
    <v>212.2</v>
    <v>212.5</v>
    <v>211.2</v>
    <v>211.8</v>
    <v>209.6</v>
    <v>209.5</v>
    <v>204.5</v>
    <v>205</v>
    <v>217</v>
    <v>218.3</v>
    <v>217.8</v>
    <v>217.4</v>
    <v>216.8</v>
    <v>217.4</v>
    <v>218.8</v>
    <v>222.1</v>
    <v>221.8</v>
    <v>220</v>
    <v>221</v>
    <v>222.5</v>
    <v>224.5</v>
    <v>225.2</v>
    <v>225.5</v>
    <v>223.6</v>
    <v>218.5</v>
    <v>209.8</v>
    <v>210</v>
    <v>215.2</v>
    <v>213.9</v>
    <v>214.4</v>
    <v>214.7</v>
    <v>216.9</v>
    <v>220.8</v>
    <v>220.6</v>
    <v>222</v>
  </a>
  <a r="1" c="158">
    <v>109.4</v>
    <v>106</v>
    <v>107.2</v>
    <v>108</v>
    <v>108.4</v>
    <v>108.4</v>
    <v>109.8</v>
    <v>109.8</v>
    <v>109.2</v>
    <v>110</v>
    <v>108.8</v>
    <v>108</v>
    <v>106.8</v>
    <v>108</v>
    <v>108</v>
    <v>109.6</v>
    <v>109</v>
    <v>109.6</v>
    <v>110.6</v>
    <v>111</v>
    <v>109.8</v>
    <v>110</v>
    <v>111</v>
    <v>115</v>
    <v>118.8</v>
    <v>117.6</v>
    <v>118.8</v>
    <v>118</v>
    <v>117.6</v>
    <v>118.2</v>
    <v>119.8</v>
    <v>118.4</v>
    <v>118.6</v>
    <v>118.8</v>
    <v>117.6</v>
    <v>117.2</v>
    <v>117.2</v>
    <v>117</v>
    <v>116.4</v>
    <v>117</v>
    <v>115.8</v>
    <v>116</v>
    <v>117.4</v>
    <v>117.6</v>
    <v>116.6</v>
    <v>116.4</v>
    <v>115.8</v>
    <v>115.8</v>
    <v>116.4</v>
    <v>118.2</v>
    <v>120</v>
    <v>120.4</v>
    <v>121.8</v>
    <v>121.4</v>
    <v>122</v>
    <v>120.8</v>
    <v>120</v>
    <v>119.8</v>
    <v>121.6</v>
    <v>116</v>
    <v>115.4</v>
    <v>115.8</v>
    <v>116.4</v>
    <v>118.58</v>
    <v>120.06</v>
    <v>120.2</v>
    <v>122.58</v>
    <v>122.2</v>
    <v>121.94</v>
    <v>123.7</v>
    <v>120.6</v>
    <v>119.72</v>
    <v>119</v>
    <v>118.78</v>
    <v>118.18</v>
    <v>117.98</v>
    <v>118.86</v>
    <v>121.86</v>
    <v>121.46</v>
    <v>123.96</v>
    <v>124.3</v>
    <v>123.58</v>
    <v>123.32</v>
    <v>127.78</v>
    <v>124.8</v>
    <v>124.62</v>
    <v>125.62</v>
    <v>126.36</v>
    <v>126.24</v>
    <v>127.88</v>
    <v>131.16</v>
    <v>129.04</v>
    <v>128.5</v>
    <v>128.72</v>
    <v>125.8</v>
    <v>127.18</v>
    <v>128.6</v>
    <v>129</v>
    <v>129.74</v>
    <v>129</v>
    <v>128.91999999999999</v>
    <v>130</v>
    <v>130.94</v>
    <v>131.68</v>
    <v>129.30000000000001</v>
    <v>128.12</v>
    <v>128.5</v>
    <v>126.54</v>
    <v>125.92</v>
    <v>124.26</v>
    <v>126.7</v>
    <v>125.58</v>
    <v>123.2</v>
    <v>126.58</v>
    <v>126.82</v>
    <v>127.16</v>
    <v>127.4</v>
    <v>126.38</v>
    <v>127.1</v>
    <v>125.5</v>
    <v>124.84</v>
    <v>125.54</v>
    <v>125.5</v>
    <v>129.84</v>
    <v>131.6</v>
    <v>130.88</v>
    <v>133.5</v>
    <v>131.68</v>
    <v>131.6</v>
    <v>129.30000000000001</v>
    <v>128</v>
    <v>129.32</v>
    <v>130.4</v>
    <v>129.80000000000001</v>
    <v>129.22</v>
    <v>130.80000000000001</v>
    <v>130.66</v>
    <v>132.34</v>
    <v>132.34</v>
    <v>132.36000000000001</v>
    <v>133.1</v>
    <v>132.32</v>
    <v>133.74</v>
    <v>136</v>
    <v>136.5</v>
    <v>140</v>
    <v>137.24</v>
    <v>133.30000000000001</v>
    <v>129.32</v>
    <v>129.46</v>
    <v>132.34</v>
    <v>132.5</v>
    <v>133.22</v>
    <v>133.5</v>
    <v>135.80000000000001</v>
    <v>137.6</v>
    <v>137.6</v>
    <v>137.62</v>
  </a>
  <a r="1" c="158">
    <v>132.19999999999999</v>
    <v>134</v>
    <v>133.4</v>
    <v>134.30000000000001</v>
    <v>130.5</v>
    <v>129.9</v>
    <v>109.4</v>
    <v>110.3</v>
    <v>111.6</v>
    <v>109.6</v>
    <v>108.5</v>
    <v>110.8</v>
    <v>108.9</v>
    <v>107.4</v>
    <v>103.2</v>
    <v>102.3</v>
    <v>101.8</v>
    <v>104.6</v>
    <v>106.1</v>
    <v>105.8</v>
    <v>103.9</v>
    <v>100.5</v>
    <v>103.3</v>
    <v>101.7</v>
    <v>99.8</v>
    <v>96.5</v>
    <v>97.8</v>
    <v>95.75</v>
    <v>97.5</v>
    <v>96</v>
    <v>100.3</v>
    <v>98.85</v>
    <v>96</v>
    <v>99.15</v>
    <v>105.2</v>
    <v>102.9</v>
    <v>101</v>
    <v>100.6</v>
    <v>99.3</v>
    <v>98</v>
    <v>99.6</v>
    <v>100.2</v>
    <v>100.8</v>
    <v>104.5</v>
    <v>106.3</v>
    <v>104.1</v>
    <v>103.1</v>
    <v>107</v>
    <v>108.8</v>
    <v>106.5</v>
    <v>104</v>
    <v>107.6</v>
    <v>108.4</v>
    <v>106.5</v>
    <v>109.4</v>
    <v>110.9</v>
    <v>109.5</v>
    <v>109.6</v>
    <v>113.3</v>
    <v>112.8</v>
    <v>117.7</v>
    <v>117.9</v>
    <v>118.2</v>
    <v>121.1</v>
    <v>121.4</v>
    <v>121.1</v>
    <v>120.8</v>
    <v>119.3</v>
    <v>130</v>
    <v>133.1</v>
    <v>131.9</v>
    <v>136.6</v>
    <v>135</v>
    <v>131.19999999999999</v>
    <v>132.69999999999999</v>
    <v>131.4</v>
    <v>129.30000000000001</v>
    <v>127.8</v>
    <v>125.9</v>
    <v>126.1</v>
    <v>125.6</v>
    <v>130.4</v>
    <v>129.5</v>
    <v>127.2</v>
    <v>122.7</v>
    <v>120</v>
    <v>120.6</v>
    <v>123.5</v>
    <v>122.7</v>
    <v>119.6</v>
    <v>117.3</v>
    <v>118.1</v>
    <v>117</v>
    <v>120.4</v>
    <v>119.9</v>
    <v>118.9</v>
    <v>123.6</v>
    <v>124.9</v>
    <v>129.4</v>
    <v>130.19999999999999</v>
    <v>130.30000000000001</v>
    <v>135.5</v>
    <v>137</v>
    <v>133.6</v>
    <v>123.9</v>
    <v>122.3</v>
    <v>126.7</v>
    <v>128.6</v>
    <v>128</v>
    <v>124.2</v>
    <v>125.4</v>
    <v>120.4</v>
    <v>115.5</v>
    <v>121.8</v>
    <v>123</v>
    <v>120</v>
    <v>121.4</v>
    <v>120</v>
    <v>123.6</v>
    <v>121.3</v>
    <v>121.5</v>
    <v>125.4</v>
    <v>128.19999999999999</v>
    <v>129.6</v>
    <v>131.69999999999999</v>
    <v>131.5</v>
    <v>129.69999999999999</v>
    <v>131.80000000000001</v>
    <v>127.2</v>
    <v>128.9</v>
    <v>128.4</v>
    <v>125.1</v>
    <v>127.5</v>
    <v>126.9</v>
    <v>125.8</v>
    <v>131</v>
    <v>137.1</v>
    <v>138</v>
    <v>138.80000000000001</v>
    <v>136</v>
    <v>135.19999999999999</v>
    <v>132.80000000000001</v>
    <v>137</v>
    <v>135</v>
    <v>132.9</v>
    <v>133.69999999999999</v>
    <v>131.30000000000001</v>
    <v>126.5</v>
    <v>117.2</v>
    <v>118.2</v>
    <v>120.2</v>
    <v>120.8</v>
    <v>122.5</v>
    <v>123.3</v>
    <v>122.6</v>
    <v>124.1</v>
    <v>124.2</v>
    <v>125.2</v>
  </a>
  <a r="1" c="158">
    <v>569.20000000000005</v>
    <v>564.4</v>
    <v>575</v>
    <v>588.6</v>
    <v>591</v>
    <v>596.4</v>
    <v>594.20000000000005</v>
    <v>584.79999999999995</v>
    <v>577</v>
    <v>583</v>
    <v>585.6</v>
    <v>586.6</v>
    <v>583.4</v>
    <v>594</v>
    <v>606.79999999999995</v>
    <v>608.20000000000005</v>
    <v>596.20000000000005</v>
    <v>594.20000000000005</v>
    <v>580</v>
    <v>575.4</v>
    <v>582.6</v>
    <v>585</v>
    <v>584.79999999999995</v>
    <v>581.4</v>
    <v>591.6</v>
    <v>598.20000000000005</v>
    <v>606.6</v>
    <v>602.4</v>
    <v>584</v>
    <v>580.4</v>
    <v>580.79999999999995</v>
    <v>580</v>
    <v>590.20000000000005</v>
    <v>610</v>
    <v>632.4</v>
    <v>628.6</v>
    <v>637.20000000000005</v>
    <v>643.79999999999995</v>
    <v>643</v>
    <v>649.20000000000005</v>
    <v>646.6</v>
    <v>643.79999999999995</v>
    <v>656.2</v>
    <v>673.4</v>
    <v>680.2</v>
    <v>684</v>
    <v>694.2</v>
    <v>693.8</v>
    <v>693.4</v>
    <v>697.6</v>
    <v>693.4</v>
    <v>696.6</v>
    <v>700</v>
    <v>693.8</v>
    <v>696.6</v>
    <v>697</v>
    <v>702.8</v>
    <v>712.2</v>
    <v>713.4</v>
    <v>714</v>
    <v>707.2</v>
    <v>710</v>
    <v>715.4</v>
    <v>682.5</v>
    <v>671.5</v>
    <v>679</v>
    <v>678.5</v>
    <v>682</v>
    <v>682</v>
    <v>687.5</v>
    <v>678</v>
    <v>680.5</v>
    <v>678</v>
    <v>667</v>
    <v>658.5</v>
    <v>652.5</v>
    <v>652.5</v>
    <v>655.5</v>
    <v>662.5</v>
    <v>668.5</v>
    <v>687</v>
    <v>690</v>
    <v>694</v>
    <v>701.5</v>
    <v>667</v>
    <v>665</v>
    <v>661.5</v>
    <v>663.5</v>
    <v>668</v>
    <v>677.5</v>
    <v>678</v>
    <v>656</v>
    <v>661</v>
    <v>672</v>
    <v>667.5</v>
    <v>663</v>
    <v>661</v>
    <v>656</v>
    <v>662</v>
    <v>656</v>
    <v>633</v>
    <v>629</v>
    <v>638.5</v>
    <v>640.5</v>
    <v>625</v>
    <v>619.5</v>
    <v>626.5</v>
    <v>601</v>
    <v>593</v>
    <v>589</v>
    <v>585</v>
    <v>595.5</v>
    <v>605</v>
    <v>606</v>
    <v>607</v>
    <v>604</v>
    <v>604</v>
    <v>602.5</v>
    <v>601</v>
    <v>594.5</v>
    <v>584</v>
    <v>561</v>
    <v>562</v>
    <v>554</v>
    <v>559</v>
    <v>554.5</v>
    <v>552.5</v>
    <v>558</v>
    <v>571.5</v>
    <v>570.5</v>
    <v>567</v>
    <v>557.5</v>
    <v>564</v>
    <v>563.5</v>
    <v>563</v>
    <v>570</v>
    <v>577</v>
    <v>581.5</v>
    <v>583</v>
    <v>584</v>
    <v>584.5</v>
    <v>586.5</v>
    <v>591.5</v>
    <v>602.5</v>
    <v>615</v>
    <v>628</v>
    <v>623.5</v>
    <v>604</v>
    <v>577.5</v>
    <v>595</v>
    <v>612</v>
    <v>620</v>
    <v>626</v>
    <v>628</v>
    <v>638.5</v>
    <v>641</v>
    <v>638</v>
    <v>634.5</v>
  </a>
  <a r="1" c="158">
    <v>465.4</v>
    <v>471</v>
    <v>470.8</v>
    <v>482.8</v>
    <v>483.2</v>
    <v>481.8</v>
    <v>495.4</v>
    <v>499.8</v>
    <v>505</v>
    <v>513.5</v>
    <v>511</v>
    <v>521</v>
    <v>526</v>
    <v>529.5</v>
    <v>525</v>
    <v>529.5</v>
    <v>527</v>
    <v>526.5</v>
    <v>533.5</v>
    <v>529</v>
    <v>537</v>
    <v>539</v>
    <v>537</v>
    <v>540</v>
    <v>541</v>
    <v>544</v>
    <v>547</v>
    <v>547.5</v>
    <v>543</v>
    <v>600</v>
    <v>626</v>
    <v>629</v>
    <v>650.5</v>
    <v>652</v>
    <v>655</v>
    <v>662.5</v>
    <v>662</v>
    <v>661</v>
    <v>663.5</v>
    <v>670</v>
    <v>677.5</v>
    <v>672.5</v>
    <v>675.5</v>
    <v>676.5</v>
    <v>681.5</v>
    <v>686</v>
    <v>689.5</v>
    <v>672</v>
    <v>675</v>
    <v>663</v>
    <v>669</v>
    <v>669.5</v>
    <v>672.5</v>
    <v>676</v>
    <v>684</v>
    <v>710.5</v>
    <v>712.5</v>
    <v>720</v>
    <v>718</v>
    <v>737</v>
    <v>743.5</v>
    <v>747</v>
    <v>749.5</v>
    <v>744</v>
    <v>751.5</v>
    <v>740</v>
    <v>758.5</v>
    <v>764.5</v>
    <v>723</v>
    <v>750.5</v>
    <v>752.5</v>
    <v>769</v>
    <v>773</v>
    <v>760.5</v>
    <v>764.5</v>
    <v>748.5</v>
    <v>747</v>
    <v>749</v>
    <v>761</v>
    <v>777.5</v>
    <v>755</v>
    <v>759</v>
    <v>765</v>
    <v>786</v>
    <v>792</v>
    <v>800</v>
    <v>821.5</v>
    <v>815.5</v>
    <v>818.5</v>
    <v>831.5</v>
    <v>842</v>
    <v>832.5</v>
    <v>848</v>
    <v>863.5</v>
    <v>875.5</v>
    <v>887</v>
    <v>905</v>
    <v>905</v>
    <v>904.5</v>
    <v>891.5</v>
    <v>885</v>
    <v>890</v>
    <v>901.5</v>
    <v>915</v>
    <v>881</v>
    <v>893</v>
    <v>905</v>
    <v>932</v>
    <v>923</v>
    <v>915</v>
    <v>920</v>
    <v>914</v>
    <v>871.5</v>
    <v>867.5</v>
    <v>873</v>
    <v>874.5</v>
    <v>874</v>
    <v>892</v>
    <v>876.5</v>
    <v>871</v>
    <v>855.5</v>
    <v>870</v>
    <v>870</v>
    <v>901.5</v>
    <v>881.5</v>
    <v>878</v>
    <v>882.5</v>
    <v>878</v>
    <v>885</v>
    <v>894</v>
    <v>993</v>
    <v>1033</v>
    <v>1061</v>
    <v>1058</v>
    <v>1073</v>
    <v>1063</v>
    <v>1066</v>
    <v>1065</v>
    <v>1088</v>
    <v>1110</v>
    <v>1096</v>
    <v>1051</v>
    <v>1082</v>
    <v>1080</v>
    <v>1085</v>
    <v>1096</v>
    <v>1084</v>
    <v>1039</v>
    <v>1013</v>
    <v>1037</v>
    <v>1046</v>
    <v>1033</v>
    <v>1064</v>
    <v>1074</v>
    <v>1088</v>
    <v>1101</v>
    <v>1090</v>
    <v>1106</v>
  </a>
</arrayData>
</file>

<file path=xl/richData/rdrichvalue.xml><?xml version="1.0" encoding="utf-8"?>
<rvData xmlns="http://schemas.microsoft.com/office/spreadsheetml/2017/richdata" count="1434">
  <rv s="0">
    <v>https://www.bing.com/financeapi/forcetrigger?t=alt5vh&amp;q=XOSL%3aNHY&amp;form=skydnc</v>
    <v>Learn more on Bing</v>
  </rv>
  <rv s="1">
    <v>en-GB</v>
    <v>alt5vh</v>
    <v>268435456</v>
    <v>1</v>
    <v>Powered by Refinitiv</v>
    <v>0</v>
    <v>Norsk Hydro ASA (XOSL:NHY)</v>
    <v>2</v>
    <v>3</v>
    <v>Finance</v>
    <v>4</v>
    <v>75.099999999999994</v>
    <v>53.24</v>
    <v>1.6396999999999999</v>
    <v>0.57999999999999996</v>
    <v>1.0104999999999999E-2</v>
    <v>NOK</v>
    <v>Norsk Hydro ASA is a Norway-based aluminium and energy company. The Company is present throughout the aluminium value chain, from energy to bauxite mining and alumina refining, primary aluminium, aluminium extrusions and aluminium recycling. Its reportable segments are the business areas: Hydro Bauxite &amp; Alumina, activities includes bauxite mining activities, production of alumina and related commercial activities, primarily the sale of alumina; Hydro Aluminium Metal includes primary aluminium production and casting activities; Hydro Metal Markets includes all sales activities relating to products from our primary metal plants and operational responsibility for stand-alone recyclers as well as physical and financial metal trading activities; Hydro Extrusions delivers products within extrusion profiles, building systems and precision tubing; Hydro Energy includes operating and commercial responsibility for Hydro’s power stations in Norway, a trading and wholesale business in Brazil.</v>
    <v>32724</v>
    <v>Oslo Bors Asa</v>
    <v>XOSL</v>
    <v>XOSL</v>
    <v>Drammensveien 264, OSLO, OSLO, 0283 NO</v>
    <v>58.26</v>
    <v>Metals &amp; Mining</v>
    <v>Stock</v>
    <v>45520.666666666664</v>
    <v>0</v>
    <v>57.4</v>
    <v>116482800000</v>
    <v>Norsk Hydro ASA</v>
    <v>Norsk Hydro ASA</v>
    <v>57.7</v>
    <v>494.7099</v>
    <v>57.4</v>
    <v>57.98</v>
    <v>2009016000</v>
    <v>NHY</v>
    <v>Norsk Hydro ASA (XOSL:NHY)</v>
    <v>4958608</v>
    <v>3584660</v>
    <v>1995</v>
  </rv>
  <rv s="2">
    <v>1</v>
  </rv>
  <rv s="3">
    <fb>45289</fb>
    <v>5</v>
  </rv>
  <rv s="3">
    <fb>1768087</fb>
    <v>6</v>
  </rv>
  <rv s="3">
    <fb>45293</fb>
    <v>5</v>
  </rv>
  <rv s="3">
    <fb>2435757</fb>
    <v>6</v>
  </rv>
  <rv s="4">
    <v>9</v>
    <v>1</v>
  </rv>
  <rv s="3">
    <fb>45294</fb>
    <v>5</v>
  </rv>
  <rv s="3">
    <fb>2756934</fb>
    <v>6</v>
  </rv>
  <rv s="3">
    <fb>45295</fb>
    <v>5</v>
  </rv>
  <rv s="3">
    <fb>5989433</fb>
    <v>6</v>
  </rv>
  <rv s="3">
    <fb>45296</fb>
    <v>5</v>
  </rv>
  <rv s="3">
    <fb>1714589</fb>
    <v>6</v>
  </rv>
  <rv s="3">
    <fb>45299</fb>
    <v>5</v>
  </rv>
  <rv s="3">
    <fb>2124723</fb>
    <v>6</v>
  </rv>
  <rv s="3">
    <fb>45300</fb>
    <v>5</v>
  </rv>
  <rv s="3">
    <fb>4567442</fb>
    <v>6</v>
  </rv>
  <rv s="3">
    <fb>45301</fb>
    <v>5</v>
  </rv>
  <rv s="3">
    <fb>3237572</fb>
    <v>6</v>
  </rv>
  <rv s="3">
    <fb>45302</fb>
    <v>5</v>
  </rv>
  <rv s="3">
    <fb>3260129</fb>
    <v>6</v>
  </rv>
  <rv s="3">
    <fb>45303</fb>
    <v>5</v>
  </rv>
  <rv s="3">
    <fb>3256233</fb>
    <v>6</v>
  </rv>
  <rv s="3">
    <fb>45306</fb>
    <v>5</v>
  </rv>
  <rv s="3">
    <fb>2407306</fb>
    <v>6</v>
  </rv>
  <rv s="3">
    <fb>45307</fb>
    <v>5</v>
  </rv>
  <rv s="3">
    <fb>3984814</fb>
    <v>6</v>
  </rv>
  <rv s="3">
    <fb>45308</fb>
    <v>5</v>
  </rv>
  <rv s="3">
    <fb>4225321</fb>
    <v>6</v>
  </rv>
  <rv s="3">
    <fb>45309</fb>
    <v>5</v>
  </rv>
  <rv s="3">
    <fb>4653582</fb>
    <v>6</v>
  </rv>
  <rv s="3">
    <fb>45310</fb>
    <v>5</v>
  </rv>
  <rv s="3">
    <fb>3824795</fb>
    <v>6</v>
  </rv>
  <rv s="3">
    <fb>45313</fb>
    <v>5</v>
  </rv>
  <rv s="3">
    <fb>3597457</fb>
    <v>6</v>
  </rv>
  <rv s="3">
    <fb>45314</fb>
    <v>5</v>
  </rv>
  <rv s="3">
    <fb>7979875</fb>
    <v>6</v>
  </rv>
  <rv s="3">
    <fb>45315</fb>
    <v>5</v>
  </rv>
  <rv s="3">
    <fb>7246308</fb>
    <v>6</v>
  </rv>
  <rv s="3">
    <fb>45316</fb>
    <v>5</v>
  </rv>
  <rv s="3">
    <fb>3875184</fb>
    <v>6</v>
  </rv>
  <rv s="3">
    <fb>45317</fb>
    <v>5</v>
  </rv>
  <rv s="3">
    <fb>2052909</fb>
    <v>6</v>
  </rv>
  <rv s="3">
    <fb>45320</fb>
    <v>5</v>
  </rv>
  <rv s="3">
    <fb>2346345</fb>
    <v>6</v>
  </rv>
  <rv s="3">
    <fb>45321</fb>
    <v>5</v>
  </rv>
  <rv s="3">
    <fb>2540627</fb>
    <v>6</v>
  </rv>
  <rv s="3">
    <fb>45322</fb>
    <v>5</v>
  </rv>
  <rv s="3">
    <fb>2983052</fb>
    <v>6</v>
  </rv>
  <rv s="3">
    <fb>45323</fb>
    <v>5</v>
  </rv>
  <rv s="3">
    <fb>2211694</fb>
    <v>6</v>
  </rv>
  <rv s="3">
    <fb>45324</fb>
    <v>5</v>
  </rv>
  <rv s="3">
    <fb>1710619</fb>
    <v>6</v>
  </rv>
  <rv s="3">
    <fb>45327</fb>
    <v>5</v>
  </rv>
  <rv s="3">
    <fb>2885960</fb>
    <v>6</v>
  </rv>
  <rv s="3">
    <fb>45328</fb>
    <v>5</v>
  </rv>
  <rv s="3">
    <fb>2691934</fb>
    <v>6</v>
  </rv>
  <rv s="3">
    <fb>45329</fb>
    <v>5</v>
  </rv>
  <rv s="3">
    <fb>3011580</fb>
    <v>6</v>
  </rv>
  <rv s="3">
    <fb>45330</fb>
    <v>5</v>
  </rv>
  <rv s="3">
    <fb>3039136</fb>
    <v>6</v>
  </rv>
  <rv s="3">
    <fb>45331</fb>
    <v>5</v>
  </rv>
  <rv s="3">
    <fb>2654423</fb>
    <v>6</v>
  </rv>
  <rv s="3">
    <fb>45334</fb>
    <v>5</v>
  </rv>
  <rv s="3">
    <fb>1779206</fb>
    <v>6</v>
  </rv>
  <rv s="3">
    <fb>45335</fb>
    <v>5</v>
  </rv>
  <rv s="3">
    <fb>4072220</fb>
    <v>6</v>
  </rv>
  <rv s="3">
    <fb>45336</fb>
    <v>5</v>
  </rv>
  <rv s="3">
    <fb>4352729</fb>
    <v>6</v>
  </rv>
  <rv s="3">
    <fb>45337</fb>
    <v>5</v>
  </rv>
  <rv s="3">
    <fb>3485978</fb>
    <v>6</v>
  </rv>
  <rv s="3">
    <fb>45338</fb>
    <v>5</v>
  </rv>
  <rv s="3">
    <fb>3666748</fb>
    <v>6</v>
  </rv>
  <rv s="3">
    <fb>45341</fb>
    <v>5</v>
  </rv>
  <rv s="3">
    <fb>2537061</fb>
    <v>6</v>
  </rv>
  <rv s="3">
    <fb>45342</fb>
    <v>5</v>
  </rv>
  <rv s="3">
    <fb>2664162</fb>
    <v>6</v>
  </rv>
  <rv s="3">
    <fb>45343</fb>
    <v>5</v>
  </rv>
  <rv s="3">
    <fb>3891420</fb>
    <v>6</v>
  </rv>
  <rv s="3">
    <fb>45344</fb>
    <v>5</v>
  </rv>
  <rv s="3">
    <fb>3111026</fb>
    <v>6</v>
  </rv>
  <rv s="3">
    <fb>45345</fb>
    <v>5</v>
  </rv>
  <rv s="3">
    <fb>2155683</fb>
    <v>6</v>
  </rv>
  <rv s="3">
    <fb>45348</fb>
    <v>5</v>
  </rv>
  <rv s="3">
    <fb>2979588</fb>
    <v>6</v>
  </rv>
  <rv s="3">
    <fb>45349</fb>
    <v>5</v>
  </rv>
  <rv s="3">
    <fb>2895886</fb>
    <v>6</v>
  </rv>
  <rv s="3">
    <fb>45350</fb>
    <v>5</v>
  </rv>
  <rv s="3">
    <fb>3462286</fb>
    <v>6</v>
  </rv>
  <rv s="3">
    <fb>45351</fb>
    <v>5</v>
  </rv>
  <rv s="3">
    <fb>6703797</fb>
    <v>6</v>
  </rv>
  <rv s="3">
    <fb>45352</fb>
    <v>5</v>
  </rv>
  <rv s="3">
    <fb>3459814</fb>
    <v>6</v>
  </rv>
  <rv s="3">
    <fb>45355</fb>
    <v>5</v>
  </rv>
  <rv s="3">
    <fb>2548685</fb>
    <v>6</v>
  </rv>
  <rv s="3">
    <fb>45356</fb>
    <v>5</v>
  </rv>
  <rv s="3">
    <fb>2529020</fb>
    <v>6</v>
  </rv>
  <rv s="3">
    <fb>45357</fb>
    <v>5</v>
  </rv>
  <rv s="3">
    <fb>2499781</fb>
    <v>6</v>
  </rv>
  <rv s="3">
    <fb>45358</fb>
    <v>5</v>
  </rv>
  <rv s="3">
    <fb>3873385</fb>
    <v>6</v>
  </rv>
  <rv s="3">
    <fb>45359</fb>
    <v>5</v>
  </rv>
  <rv s="3">
    <fb>2690407</fb>
    <v>6</v>
  </rv>
  <rv s="3">
    <fb>45362</fb>
    <v>5</v>
  </rv>
  <rv s="3">
    <fb>2266806</fb>
    <v>6</v>
  </rv>
  <rv s="3">
    <fb>45363</fb>
    <v>5</v>
  </rv>
  <rv s="3">
    <fb>4399807</fb>
    <v>6</v>
  </rv>
  <rv s="3">
    <fb>45364</fb>
    <v>5</v>
  </rv>
  <rv s="3">
    <fb>5098193</fb>
    <v>6</v>
  </rv>
  <rv s="3">
    <fb>45365</fb>
    <v>5</v>
  </rv>
  <rv s="3">
    <fb>5696833</fb>
    <v>6</v>
  </rv>
  <rv s="3">
    <fb>45366</fb>
    <v>5</v>
  </rv>
  <rv s="3">
    <fb>10654563</fb>
    <v>6</v>
  </rv>
  <rv s="3">
    <fb>45369</fb>
    <v>5</v>
  </rv>
  <rv s="3">
    <fb>3664939</fb>
    <v>6</v>
  </rv>
  <rv s="3">
    <fb>45370</fb>
    <v>5</v>
  </rv>
  <rv s="3">
    <fb>2803288</fb>
    <v>6</v>
  </rv>
  <rv s="3">
    <fb>45371</fb>
    <v>5</v>
  </rv>
  <rv s="3">
    <fb>4189160</fb>
    <v>6</v>
  </rv>
  <rv s="3">
    <fb>45372</fb>
    <v>5</v>
  </rv>
  <rv s="3">
    <fb>3918584</fb>
    <v>6</v>
  </rv>
  <rv s="3">
    <fb>45373</fb>
    <v>5</v>
  </rv>
  <rv s="3">
    <fb>3125816</fb>
    <v>6</v>
  </rv>
  <rv s="3">
    <fb>45376</fb>
    <v>5</v>
  </rv>
  <rv s="3">
    <fb>4813341</fb>
    <v>6</v>
  </rv>
  <rv s="3">
    <fb>45377</fb>
    <v>5</v>
  </rv>
  <rv s="3">
    <fb>3038659</fb>
    <v>6</v>
  </rv>
  <rv s="3">
    <fb>45378</fb>
    <v>5</v>
  </rv>
  <rv s="3">
    <fb>3487690</fb>
    <v>6</v>
  </rv>
  <rv s="3">
    <fb>45384</fb>
    <v>5</v>
  </rv>
  <rv s="3">
    <fb>10365635</fb>
    <v>6</v>
  </rv>
  <rv s="3">
    <fb>45385</fb>
    <v>5</v>
  </rv>
  <rv s="3">
    <fb>6334623</fb>
    <v>6</v>
  </rv>
  <rv s="3">
    <fb>45386</fb>
    <v>5</v>
  </rv>
  <rv s="3">
    <fb>6140672</fb>
    <v>6</v>
  </rv>
  <rv s="3">
    <fb>45387</fb>
    <v>5</v>
  </rv>
  <rv s="3">
    <fb>3479033</fb>
    <v>6</v>
  </rv>
  <rv s="3">
    <fb>45390</fb>
    <v>5</v>
  </rv>
  <rv s="3">
    <fb>6120938</fb>
    <v>6</v>
  </rv>
  <rv s="3">
    <fb>45391</fb>
    <v>5</v>
  </rv>
  <rv s="3">
    <fb>4554466</fb>
    <v>6</v>
  </rv>
  <rv s="3">
    <fb>45392</fb>
    <v>5</v>
  </rv>
  <rv s="3">
    <fb>4658178</fb>
    <v>6</v>
  </rv>
  <rv s="3">
    <fb>45393</fb>
    <v>5</v>
  </rv>
  <rv s="3">
    <fb>4225511</fb>
    <v>6</v>
  </rv>
  <rv s="3">
    <fb>45394</fb>
    <v>5</v>
  </rv>
  <rv s="3">
    <fb>6045927</fb>
    <v>6</v>
  </rv>
  <rv s="3">
    <fb>45397</fb>
    <v>5</v>
  </rv>
  <rv s="3">
    <fb>7551147</fb>
    <v>6</v>
  </rv>
  <rv s="3">
    <fb>45398</fb>
    <v>5</v>
  </rv>
  <rv s="3">
    <fb>4819641</fb>
    <v>6</v>
  </rv>
  <rv s="3">
    <fb>45399</fb>
    <v>5</v>
  </rv>
  <rv s="3">
    <fb>3918472</fb>
    <v>6</v>
  </rv>
  <rv s="3">
    <fb>45400</fb>
    <v>5</v>
  </rv>
  <rv s="3">
    <fb>3092039</fb>
    <v>6</v>
  </rv>
  <rv s="3">
    <fb>45401</fb>
    <v>5</v>
  </rv>
  <rv s="3">
    <fb>4190750</fb>
    <v>6</v>
  </rv>
  <rv s="3">
    <fb>45404</fb>
    <v>5</v>
  </rv>
  <rv s="3">
    <fb>4698116</fb>
    <v>6</v>
  </rv>
  <rv s="3">
    <fb>45405</fb>
    <v>5</v>
  </rv>
  <rv s="3">
    <fb>5693962</fb>
    <v>6</v>
  </rv>
  <rv s="3">
    <fb>45406</fb>
    <v>5</v>
  </rv>
  <rv s="3">
    <fb>6717822</fb>
    <v>6</v>
  </rv>
  <rv s="3">
    <fb>45407</fb>
    <v>5</v>
  </rv>
  <rv s="3">
    <fb>4591080</fb>
    <v>6</v>
  </rv>
  <rv s="3">
    <fb>45408</fb>
    <v>5</v>
  </rv>
  <rv s="3">
    <fb>4235267</fb>
    <v>6</v>
  </rv>
  <rv s="3">
    <fb>45411</fb>
    <v>5</v>
  </rv>
  <rv s="3">
    <fb>4016262</fb>
    <v>6</v>
  </rv>
  <rv s="3">
    <fb>45412</fb>
    <v>5</v>
  </rv>
  <rv s="3">
    <fb>5254223</fb>
    <v>6</v>
  </rv>
  <rv s="3">
    <fb>45414</fb>
    <v>5</v>
  </rv>
  <rv s="3">
    <fb>5192253</fb>
    <v>6</v>
  </rv>
  <rv s="3">
    <fb>45415</fb>
    <v>5</v>
  </rv>
  <rv s="3">
    <fb>3925332</fb>
    <v>6</v>
  </rv>
  <rv s="3">
    <fb>45418</fb>
    <v>5</v>
  </rv>
  <rv s="3">
    <fb>4008800</fb>
    <v>6</v>
  </rv>
  <rv s="3">
    <fb>45419</fb>
    <v>5</v>
  </rv>
  <rv s="3">
    <fb>3376546</fb>
    <v>6</v>
  </rv>
  <rv s="3">
    <fb>45420</fb>
    <v>5</v>
  </rv>
  <rv s="3">
    <fb>4321097</fb>
    <v>6</v>
  </rv>
  <rv s="3">
    <fb>45422</fb>
    <v>5</v>
  </rv>
  <rv s="3">
    <fb>4123331</fb>
    <v>6</v>
  </rv>
  <rv s="3">
    <fb>45425</fb>
    <v>5</v>
  </rv>
  <rv s="3">
    <fb>4128866</fb>
    <v>6</v>
  </rv>
  <rv s="3">
    <fb>45426</fb>
    <v>5</v>
  </rv>
  <rv s="3">
    <fb>4028777</fb>
    <v>6</v>
  </rv>
  <rv s="3">
    <fb>45427</fb>
    <v>5</v>
  </rv>
  <rv s="3">
    <fb>3135583</fb>
    <v>6</v>
  </rv>
  <rv s="3">
    <fb>45428</fb>
    <v>5</v>
  </rv>
  <rv s="3">
    <fb>3764152</fb>
    <v>6</v>
  </rv>
  <rv s="3">
    <fb>45433</fb>
    <v>5</v>
  </rv>
  <rv s="3">
    <fb>9019282</fb>
    <v>6</v>
  </rv>
  <rv s="3">
    <fb>45434</fb>
    <v>5</v>
  </rv>
  <rv s="3">
    <fb>5087075</fb>
    <v>6</v>
  </rv>
  <rv s="3">
    <fb>45435</fb>
    <v>5</v>
  </rv>
  <rv s="3">
    <fb>2482705</fb>
    <v>6</v>
  </rv>
  <rv s="3">
    <fb>45436</fb>
    <v>5</v>
  </rv>
  <rv s="3">
    <fb>2711988</fb>
    <v>6</v>
  </rv>
  <rv s="3">
    <fb>45439</fb>
    <v>5</v>
  </rv>
  <rv s="3">
    <fb>1541960</fb>
    <v>6</v>
  </rv>
  <rv s="3">
    <fb>45440</fb>
    <v>5</v>
  </rv>
  <rv s="3">
    <fb>4180410</fb>
    <v>6</v>
  </rv>
  <rv s="3">
    <fb>45441</fb>
    <v>5</v>
  </rv>
  <rv s="3">
    <fb>6398675</fb>
    <v>6</v>
  </rv>
  <rv s="3">
    <fb>45442</fb>
    <v>5</v>
  </rv>
  <rv s="3">
    <fb>4405473</fb>
    <v>6</v>
  </rv>
  <rv s="3">
    <fb>45443</fb>
    <v>5</v>
  </rv>
  <rv s="3">
    <fb>9613738</fb>
    <v>6</v>
  </rv>
  <rv s="3">
    <fb>45446</fb>
    <v>5</v>
  </rv>
  <rv s="3">
    <fb>2022074</fb>
    <v>6</v>
  </rv>
  <rv s="3">
    <fb>45447</fb>
    <v>5</v>
  </rv>
  <rv s="3">
    <fb>5163530</fb>
    <v>6</v>
  </rv>
  <rv s="3">
    <fb>45448</fb>
    <v>5</v>
  </rv>
  <rv s="3">
    <fb>5840955</fb>
    <v>6</v>
  </rv>
  <rv s="3">
    <fb>45449</fb>
    <v>5</v>
  </rv>
  <rv s="3">
    <fb>1999280</fb>
    <v>6</v>
  </rv>
  <rv s="3">
    <fb>45450</fb>
    <v>5</v>
  </rv>
  <rv s="3">
    <fb>3672331</fb>
    <v>6</v>
  </rv>
  <rv s="3">
    <fb>45453</fb>
    <v>5</v>
  </rv>
  <rv s="3">
    <fb>2333264</fb>
    <v>6</v>
  </rv>
  <rv s="3">
    <fb>45454</fb>
    <v>5</v>
  </rv>
  <rv s="3">
    <fb>2620109</fb>
    <v>6</v>
  </rv>
  <rv s="3">
    <fb>45455</fb>
    <v>5</v>
  </rv>
  <rv s="3">
    <fb>2019786</fb>
    <v>6</v>
  </rv>
  <rv s="3">
    <fb>45456</fb>
    <v>5</v>
  </rv>
  <rv s="3">
    <fb>5719664</fb>
    <v>6</v>
  </rv>
  <rv s="3">
    <fb>45457</fb>
    <v>5</v>
  </rv>
  <rv s="3">
    <fb>4391685</fb>
    <v>6</v>
  </rv>
  <rv s="3">
    <fb>45460</fb>
    <v>5</v>
  </rv>
  <rv s="3">
    <fb>4471162</fb>
    <v>6</v>
  </rv>
  <rv s="3">
    <fb>45461</fb>
    <v>5</v>
  </rv>
  <rv s="3">
    <fb>3902935</fb>
    <v>6</v>
  </rv>
  <rv s="3">
    <fb>45462</fb>
    <v>5</v>
  </rv>
  <rv s="3">
    <fb>5152017</fb>
    <v>6</v>
  </rv>
  <rv s="3">
    <fb>45463</fb>
    <v>5</v>
  </rv>
  <rv s="3">
    <fb>4679990</fb>
    <v>6</v>
  </rv>
  <rv s="3">
    <fb>45464</fb>
    <v>5</v>
  </rv>
  <rv s="3">
    <fb>6548268</fb>
    <v>6</v>
  </rv>
  <rv s="3">
    <fb>45467</fb>
    <v>5</v>
  </rv>
  <rv s="3">
    <fb>2406274</fb>
    <v>6</v>
  </rv>
  <rv s="3">
    <fb>45468</fb>
    <v>5</v>
  </rv>
  <rv s="3">
    <fb>3534491</fb>
    <v>6</v>
  </rv>
  <rv s="3">
    <fb>45469</fb>
    <v>5</v>
  </rv>
  <rv s="3">
    <fb>3152427</fb>
    <v>6</v>
  </rv>
  <rv s="3">
    <fb>45470</fb>
    <v>5</v>
  </rv>
  <rv s="3">
    <fb>2792954</fb>
    <v>6</v>
  </rv>
  <rv s="3">
    <fb>45471</fb>
    <v>5</v>
  </rv>
  <rv s="3">
    <fb>3005067</fb>
    <v>6</v>
  </rv>
  <rv s="3">
    <fb>45474</fb>
    <v>5</v>
  </rv>
  <rv s="3">
    <fb>2544729</fb>
    <v>6</v>
  </rv>
  <rv s="3">
    <fb>45475</fb>
    <v>5</v>
  </rv>
  <rv s="3">
    <fb>3370258</fb>
    <v>6</v>
  </rv>
  <rv s="3">
    <fb>45476</fb>
    <v>5</v>
  </rv>
  <rv s="3">
    <fb>4186686</fb>
    <v>6</v>
  </rv>
  <rv s="3">
    <fb>45477</fb>
    <v>5</v>
  </rv>
  <rv s="3">
    <fb>1835832</fb>
    <v>6</v>
  </rv>
  <rv s="3">
    <fb>45478</fb>
    <v>5</v>
  </rv>
  <rv s="3">
    <fb>2769807</fb>
    <v>6</v>
  </rv>
  <rv s="3">
    <fb>45481</fb>
    <v>5</v>
  </rv>
  <rv s="3">
    <fb>3614706</fb>
    <v>6</v>
  </rv>
  <rv s="3">
    <fb>45482</fb>
    <v>5</v>
  </rv>
  <rv s="3">
    <fb>3433149</fb>
    <v>6</v>
  </rv>
  <rv s="3">
    <fb>45483</fb>
    <v>5</v>
  </rv>
  <rv s="3">
    <fb>2989383</fb>
    <v>6</v>
  </rv>
  <rv s="3">
    <fb>45484</fb>
    <v>5</v>
  </rv>
  <rv s="3">
    <fb>3202996</fb>
    <v>6</v>
  </rv>
  <rv s="3">
    <fb>45485</fb>
    <v>5</v>
  </rv>
  <rv s="3">
    <fb>3757327</fb>
    <v>6</v>
  </rv>
  <rv s="3">
    <fb>45488</fb>
    <v>5</v>
  </rv>
  <rv s="3">
    <fb>4207151</fb>
    <v>6</v>
  </rv>
  <rv s="3">
    <fb>45489</fb>
    <v>5</v>
  </rv>
  <rv s="3">
    <fb>3327868</fb>
    <v>6</v>
  </rv>
  <rv s="3">
    <fb>45490</fb>
    <v>5</v>
  </rv>
  <rv s="3">
    <fb>2568737</fb>
    <v>6</v>
  </rv>
  <rv s="3">
    <fb>45491</fb>
    <v>5</v>
  </rv>
  <rv s="3">
    <fb>3250089</fb>
    <v>6</v>
  </rv>
  <rv s="3">
    <fb>45492</fb>
    <v>5</v>
  </rv>
  <rv s="3">
    <fb>4112739</fb>
    <v>6</v>
  </rv>
  <rv s="3">
    <fb>45495</fb>
    <v>5</v>
  </rv>
  <rv s="3">
    <fb>3107518</fb>
    <v>6</v>
  </rv>
  <rv s="3">
    <fb>45496</fb>
    <v>5</v>
  </rv>
  <rv s="3">
    <fb>8255576</fb>
    <v>6</v>
  </rv>
  <rv s="3">
    <fb>45497</fb>
    <v>5</v>
  </rv>
  <rv s="3">
    <fb>4250032</fb>
    <v>6</v>
  </rv>
  <rv s="3">
    <fb>45498</fb>
    <v>5</v>
  </rv>
  <rv s="3">
    <fb>5381382</fb>
    <v>6</v>
  </rv>
  <rv s="3">
    <fb>45499</fb>
    <v>5</v>
  </rv>
  <rv s="3">
    <fb>3597069</fb>
    <v>6</v>
  </rv>
  <rv s="3">
    <fb>45502</fb>
    <v>5</v>
  </rv>
  <rv s="3">
    <fb>2624147</fb>
    <v>6</v>
  </rv>
  <rv s="3">
    <fb>45503</fb>
    <v>5</v>
  </rv>
  <rv s="3">
    <fb>5385434</fb>
    <v>6</v>
  </rv>
  <rv s="3">
    <fb>45504</fb>
    <v>5</v>
  </rv>
  <rv s="3">
    <fb>6751798</fb>
    <v>6</v>
  </rv>
  <rv s="3">
    <fb>45505</fb>
    <v>5</v>
  </rv>
  <rv s="3">
    <fb>4529981</fb>
    <v>6</v>
  </rv>
  <rv s="3">
    <fb>45506</fb>
    <v>5</v>
  </rv>
  <rv s="3">
    <fb>3869939</fb>
    <v>6</v>
  </rv>
  <rv s="3">
    <fb>45509</fb>
    <v>5</v>
  </rv>
  <rv s="3">
    <fb>5789068</fb>
    <v>6</v>
  </rv>
  <rv s="3">
    <fb>45510</fb>
    <v>5</v>
  </rv>
  <rv s="3">
    <fb>4359377</fb>
    <v>6</v>
  </rv>
  <rv s="3">
    <fb>45511</fb>
    <v>5</v>
  </rv>
  <rv s="3">
    <fb>3398545</fb>
    <v>6</v>
  </rv>
  <rv s="3">
    <fb>45512</fb>
    <v>5</v>
  </rv>
  <rv s="3">
    <fb>3080574</fb>
    <v>6</v>
  </rv>
  <rv s="3">
    <fb>45513</fb>
    <v>5</v>
  </rv>
  <rv s="3">
    <fb>3093447</fb>
    <v>6</v>
  </rv>
  <rv s="3">
    <fb>45516</fb>
    <v>5</v>
  </rv>
  <rv s="3">
    <fb>2626042</fb>
    <v>6</v>
  </rv>
  <rv s="3">
    <fb>45517</fb>
    <v>5</v>
  </rv>
  <rv s="3">
    <fb>2860715</fb>
    <v>6</v>
  </rv>
  <rv s="3">
    <fb>45518</fb>
    <v>5</v>
  </rv>
  <rv s="3">
    <fb>2779513</fb>
    <v>6</v>
  </rv>
  <rv s="3">
    <fb>45519</fb>
    <v>5</v>
  </rv>
  <rv s="3">
    <fb>2900745</fb>
    <v>6</v>
  </rv>
  <rv s="3">
    <fb>45520</fb>
    <v>5</v>
  </rv>
  <rv s="3">
    <fb>4958608</fb>
    <v>6</v>
  </rv>
  <rv s="0">
    <v>https://www.bing.com/financeapi/forcetrigger?t=b115w7&amp;q=XOSL%3aEQNR&amp;form=skydnc</v>
    <v>Learn more on Bing</v>
  </rv>
  <rv s="1">
    <v>en-GB</v>
    <v>b115w7</v>
    <v>268435456</v>
    <v>1</v>
    <v>Powered by Refinitiv</v>
    <v>0</v>
    <v>Equinor ASA (XOSL:EQNR)</v>
    <v>2</v>
    <v>3</v>
    <v>Finance</v>
    <v>4</v>
    <v>382.85</v>
    <v>256.7</v>
    <v>0.97919999999999996</v>
    <v>0.75</v>
    <v>2.5890000000000002E-3</v>
    <v>NOK</v>
    <v>Equinor ASA, formerly Statoil ASA is a Norway-based international energy company. The Company’s purpose is to turn natural resources into energy. Equinor sells crude oil and delivers natural gas to the European market. It is also engaged in processing, refining, offshore wind and carbon capture and storage activities. Equinor ASA has five reporting segments: Exploration &amp; Production Norway (E&amp;P Norway), Exploration &amp; Production International (E&amp;P International), Exploration &amp; Production USA (E&amp;P USA), Marketing, Midstream &amp; Processing (MMP) and Renewables (REN). The Company has several subsidiaries such as Equinor Nigeria Energy Company Ltd, Equinor Wind Power AS, Equinor International Netherlands BV and Equinor Brasil Energia Ltda.</v>
    <v>23449</v>
    <v>Oslo Bors Asa</v>
    <v>XOSL</v>
    <v>XOSL</v>
    <v>Forusbeen 50, STAVANGER, ROGALAND, 4035 NO</v>
    <v>292.25</v>
    <v>Oil &amp; Gas</v>
    <v>Stock</v>
    <v>45520.666666666664</v>
    <v>320</v>
    <v>288.60000000000002</v>
    <v>811163300000</v>
    <v>Equinor ASA</v>
    <v>Equinor ASA</v>
    <v>290.3</v>
    <v>8.31</v>
    <v>289.7</v>
    <v>290.45</v>
    <v>2792781000</v>
    <v>EQNR</v>
    <v>Equinor ASA (XOSL:EQNR)</v>
    <v>2710241</v>
    <v>2833270</v>
    <v>1995</v>
  </rv>
  <rv s="2">
    <v>321</v>
  </rv>
  <rv s="3">
    <fb>322.14999999999998</fb>
    <v>7</v>
  </rv>
  <rv s="3">
    <fb>326.35000000000002</fb>
    <v>7</v>
  </rv>
  <rv s="3">
    <fb>329.3</fb>
    <v>7</v>
  </rv>
  <rv s="3">
    <fb>334.95</fb>
    <v>7</v>
  </rv>
  <rv s="3">
    <fb>333.75</fb>
    <v>7</v>
  </rv>
  <rv s="3">
    <fb>318.8</fb>
    <v>7</v>
  </rv>
  <rv s="3">
    <fb>317.7</fb>
    <v>7</v>
  </rv>
  <rv s="3">
    <fb>313.14999999999998</fb>
    <v>7</v>
  </rv>
  <rv s="3">
    <fb>311.10000000000002</fb>
    <v>7</v>
  </rv>
  <rv s="3">
    <fb>315</fb>
    <v>7</v>
  </rv>
  <rv s="3">
    <fb>306.25</fb>
    <v>7</v>
  </rv>
  <rv s="3">
    <fb>307.05</fb>
    <v>7</v>
  </rv>
  <rv s="3">
    <fb>302.55</fb>
    <v>7</v>
  </rv>
  <rv s="3">
    <fb>299.2</fb>
    <v>7</v>
  </rv>
  <rv s="3">
    <fb>297.8</fb>
    <v>7</v>
  </rv>
  <rv s="3">
    <fb>293.7</fb>
    <v>7</v>
  </rv>
  <rv s="3">
    <fb>296.89999999999998</fb>
    <v>7</v>
  </rv>
  <rv s="3">
    <fb>296.14999999999998</fb>
    <v>7</v>
  </rv>
  <rv s="3">
    <fb>298.85000000000002</fb>
    <v>7</v>
  </rv>
  <rv s="3">
    <fb>301.60000000000002</fb>
    <v>7</v>
  </rv>
  <rv s="3">
    <fb>301.8</fb>
    <v>7</v>
  </rv>
  <rv s="3">
    <fb>301.45</fb>
    <v>7</v>
  </rv>
  <rv s="3">
    <fb>302.64999999999998</fb>
    <v>7</v>
  </rv>
  <rv s="3">
    <fb>305.10000000000002</fb>
    <v>7</v>
  </rv>
  <rv s="3">
    <fb>301.10000000000002</fb>
    <v>7</v>
  </rv>
  <rv s="3">
    <fb>300.95</fb>
    <v>7</v>
  </rv>
  <rv s="3">
    <fb>308.55</fb>
    <v>7</v>
  </rv>
  <rv s="3">
    <fb>284.60000000000002</fb>
    <v>7</v>
  </rv>
  <rv s="3">
    <fb>278.64999999999998</fb>
    <v>7</v>
  </rv>
  <rv s="3">
    <fb>277.55</fb>
    <v>7</v>
  </rv>
  <rv s="3">
    <fb>277.95</fb>
    <v>7</v>
  </rv>
  <rv s="3">
    <fb>271.45</fb>
    <v>7</v>
  </rv>
  <rv s="3">
    <fb>264</fb>
    <v>7</v>
  </rv>
  <rv s="3">
    <fb>261.95</fb>
    <v>7</v>
  </rv>
  <rv s="3">
    <fb>266.05</fb>
    <v>7</v>
  </rv>
  <rv s="3">
    <fb>267.60000000000002</fb>
    <v>7</v>
  </rv>
  <rv s="3">
    <fb>264.25</fb>
    <v>7</v>
  </rv>
  <rv s="3">
    <fb>263.89999999999998</fb>
    <v>7</v>
  </rv>
  <rv s="3">
    <fb>267.3</fb>
    <v>7</v>
  </rv>
  <rv s="3">
    <fb>265.39999999999998</fb>
    <v>7</v>
  </rv>
  <rv s="3">
    <fb>263</fb>
    <v>7</v>
  </rv>
  <rv s="3">
    <fb>262.3</fb>
    <v>7</v>
  </rv>
  <rv s="3">
    <fb>264.39999999999998</fb>
    <v>7</v>
  </rv>
  <rv s="3">
    <fb>261.64999999999998</fb>
    <v>7</v>
  </rv>
  <rv s="3">
    <fb>262.89999999999998</fb>
    <v>7</v>
  </rv>
  <rv s="3">
    <fb>268.89999999999998</fb>
    <v>7</v>
  </rv>
  <rv s="3">
    <fb>273.10000000000002</fb>
    <v>7</v>
  </rv>
  <rv s="3">
    <fb>269.55</fb>
    <v>7</v>
  </rv>
  <rv s="3">
    <fb>271</fb>
    <v>7</v>
  </rv>
  <rv s="3">
    <fb>268.35000000000002</fb>
    <v>7</v>
  </rv>
  <rv s="3">
    <fb>270.25</fb>
    <v>7</v>
  </rv>
  <rv s="3">
    <fb>274.95</fb>
    <v>7</v>
  </rv>
  <rv s="3">
    <fb>276</fb>
    <v>7</v>
  </rv>
  <rv s="3">
    <fb>280.3</fb>
    <v>7</v>
  </rv>
  <rv s="3">
    <fb>282.64999999999998</fb>
    <v>7</v>
  </rv>
  <rv s="3">
    <fb>282.7</fb>
    <v>7</v>
  </rv>
  <rv s="3">
    <fb>286.8</fb>
    <v>7</v>
  </rv>
  <rv s="3">
    <fb>291</fb>
    <v>7</v>
  </rv>
  <rv s="3">
    <fb>286.55</fb>
    <v>7</v>
  </rv>
  <rv s="3">
    <fb>286.39999999999998</fb>
    <v>7</v>
  </rv>
  <rv s="3">
    <fb>297.89999999999998</fb>
    <v>7</v>
  </rv>
  <rv s="3">
    <fb>299.55</fb>
    <v>7</v>
  </rv>
  <rv s="3">
    <fb>299.89999999999998</fb>
    <v>7</v>
  </rv>
  <rv s="3">
    <fb>296.10000000000002</fb>
    <v>7</v>
  </rv>
  <rv s="3">
    <fb>297.45</fb>
    <v>7</v>
  </rv>
  <rv s="3">
    <fb>299.95</fb>
    <v>7</v>
  </rv>
  <rv s="3">
    <fb>304.2</fb>
    <v>7</v>
  </rv>
  <rv s="3">
    <fb>313.89999999999998</fb>
    <v>7</v>
  </rv>
  <rv s="3">
    <fb>304.39999999999998</fb>
    <v>7</v>
  </rv>
  <rv s="3">
    <fb>303</fb>
    <v>7</v>
  </rv>
  <rv s="3">
    <fb>301.75</fb>
    <v>7</v>
  </rv>
  <rv s="3">
    <fb>300.39999999999998</fb>
    <v>7</v>
  </rv>
  <rv s="3">
    <fb>299</fb>
    <v>7</v>
  </rv>
  <rv s="3">
    <fb>296.8</fb>
    <v>7</v>
  </rv>
  <rv s="3">
    <fb>294.10000000000002</fb>
    <v>7</v>
  </rv>
  <rv s="3">
    <fb>297.7</fb>
    <v>7</v>
  </rv>
  <rv s="3">
    <fb>305</fb>
    <v>7</v>
  </rv>
  <rv s="3">
    <fb>303.64999999999998</fb>
    <v>7</v>
  </rv>
  <rv s="3">
    <fb>300.14999999999998</fb>
    <v>7</v>
  </rv>
  <rv s="3">
    <fb>298.95</fb>
    <v>7</v>
  </rv>
  <rv s="3">
    <fb>298.10000000000002</fb>
    <v>7</v>
  </rv>
  <rv s="3">
    <fb>305.5</fb>
    <v>7</v>
  </rv>
  <rv s="3">
    <fb>305.64999999999998</fb>
    <v>7</v>
  </rv>
  <rv s="3">
    <fb>304.7</fb>
    <v>7</v>
  </rv>
  <rv s="3">
    <fb>312.75</fb>
    <v>7</v>
  </rv>
  <rv s="3">
    <fb>308.60000000000002</fb>
    <v>7</v>
  </rv>
  <rv s="3">
    <fb>309.05</fb>
    <v>7</v>
  </rv>
  <rv s="3">
    <fb>298.7</fb>
    <v>7</v>
  </rv>
  <rv s="3">
    <fb>298.8</fb>
    <v>7</v>
  </rv>
  <rv s="3">
    <fb>305.8</fb>
    <v>7</v>
  </rv>
  <rv s="3">
    <fb>304.10000000000002</fb>
    <v>7</v>
  </rv>
  <rv s="3">
    <fb>310.45</fb>
    <v>7</v>
  </rv>
  <rv s="3">
    <fb>302</fb>
    <v>7</v>
  </rv>
  <rv s="3">
    <fb>301.64999999999998</fb>
    <v>7</v>
  </rv>
  <rv s="3">
    <fb>300.5</fb>
    <v>7</v>
  </rv>
  <rv s="3">
    <fb>298</fb>
    <v>7</v>
  </rv>
  <rv s="3">
    <fb>302.85000000000002</fb>
    <v>7</v>
  </rv>
  <rv s="3">
    <fb>303.85000000000002</fb>
    <v>7</v>
  </rv>
  <rv s="3">
    <fb>292.10000000000002</fb>
    <v>7</v>
  </rv>
  <rv s="3">
    <fb>294.7</fb>
    <v>7</v>
  </rv>
  <rv s="3">
    <fb>294.3</fb>
    <v>7</v>
  </rv>
  <rv s="3">
    <fb>298.14999999999998</fb>
    <v>7</v>
  </rv>
  <rv s="3">
    <fb>299.14999999999998</fb>
    <v>7</v>
  </rv>
  <rv s="3">
    <fb>298.35000000000002</fb>
    <v>7</v>
  </rv>
  <rv s="3">
    <fb>298.55</fb>
    <v>7</v>
  </rv>
  <rv s="3">
    <fb>291.2</fb>
    <v>7</v>
  </rv>
  <rv s="3">
    <fb>289.7</fb>
    <v>7</v>
  </rv>
  <rv s="3">
    <fb>288.75</fb>
    <v>7</v>
  </rv>
  <rv s="3">
    <fb>290.39999999999998</fb>
    <v>7</v>
  </rv>
  <rv s="3">
    <fb>289.60000000000002</fb>
    <v>7</v>
  </rv>
  <rv s="3">
    <fb>292.95</fb>
    <v>7</v>
  </rv>
  <rv s="3">
    <fb>292.89999999999998</fb>
    <v>7</v>
  </rv>
  <rv s="3">
    <fb>293.95</fb>
    <v>7</v>
  </rv>
  <rv s="3">
    <fb>296.3</fb>
    <v>7</v>
  </rv>
  <rv s="3">
    <fb>298.75</fb>
    <v>7</v>
  </rv>
  <rv s="3">
    <fb>303.95</fb>
    <v>7</v>
  </rv>
  <rv s="3">
    <fb>305.75</fb>
    <v>7</v>
  </rv>
  <rv s="3">
    <fb>306.39999999999998</fb>
    <v>7</v>
  </rv>
  <rv s="3">
    <fb>303.2</fb>
    <v>7</v>
  </rv>
  <rv s="3">
    <fb>294.5</fb>
    <v>7</v>
  </rv>
  <rv s="3">
    <fb>291.75</fb>
    <v>7</v>
  </rv>
  <rv s="3">
    <fb>288.35000000000002</fb>
    <v>7</v>
  </rv>
  <rv s="3">
    <fb>287.85000000000002</fb>
    <v>7</v>
  </rv>
  <rv s="3">
    <fb>290.35000000000002</fb>
    <v>7</v>
  </rv>
  <rv s="3">
    <fb>290.5</fb>
    <v>7</v>
  </rv>
  <rv s="3">
    <fb>287.95</fb>
    <v>7</v>
  </rv>
  <rv s="3">
    <fb>292.39999999999998</fb>
    <v>7</v>
  </rv>
  <rv s="3">
    <fb>296.95</fb>
    <v>7</v>
  </rv>
  <rv s="3">
    <fb>294.14999999999998</fb>
    <v>7</v>
  </rv>
  <rv s="3">
    <fb>291.95</fb>
    <v>7</v>
  </rv>
  <rv s="3">
    <fb>288</fb>
    <v>7</v>
  </rv>
  <rv s="3">
    <fb>284.39999999999998</fb>
    <v>7</v>
  </rv>
  <rv s="3">
    <fb>284.75</fb>
    <v>7</v>
  </rv>
  <rv s="3">
    <fb>286</fb>
    <v>7</v>
  </rv>
  <rv s="3">
    <fb>282.5</fb>
    <v>7</v>
  </rv>
  <rv s="3">
    <fb>290</fb>
    <v>7</v>
  </rv>
  <rv s="3">
    <fb>290.14999999999998</fb>
    <v>7</v>
  </rv>
  <rv s="3">
    <fb>285</fb>
    <v>7</v>
  </rv>
  <rv s="3">
    <fb>276.95</fb>
    <v>7</v>
  </rv>
  <rv s="3">
    <fb>278.5</fb>
    <v>7</v>
  </rv>
  <rv s="3">
    <fb>284.3</fb>
    <v>7</v>
  </rv>
  <rv s="3">
    <fb>292</fb>
    <v>7</v>
  </rv>
  <rv s="3">
    <fb>294.60000000000002</fb>
    <v>7</v>
  </rv>
  <rv s="3">
    <fb>304</fb>
    <v>7</v>
  </rv>
  <rv s="3">
    <fb>297.14999999999998</fb>
    <v>7</v>
  </rv>
  <rv s="3">
    <fb>290.45</fb>
    <v>7</v>
  </rv>
  <rv s="0">
    <v>https://www.bing.com/financeapi/forcetrigger?t=alsylh&amp;q=XOSL%3aCRAYN&amp;form=skydnc</v>
    <v>Learn more on Bing</v>
  </rv>
  <rv s="1">
    <v>en-GB</v>
    <v>alsylh</v>
    <v>268435456</v>
    <v>1</v>
    <v>Powered by Refinitiv</v>
    <v>0</v>
    <v>Crayon Group Holding ASA (XOSL:CRAYN)</v>
    <v>2</v>
    <v>3</v>
    <v>Finance</v>
    <v>4</v>
    <v>132.19999999999999</v>
    <v>53.1</v>
    <v>1.2531000000000001</v>
    <v>1.6</v>
    <v>1.3266999999999999E-2</v>
    <v>NOK</v>
    <v>Crayon Group Holding ASA is a Norway-based company engaged in the information technology (IT) sector. The Company’s activities are divided into five segments: The Software and Cloud Direct, which comprises license offering from its partners, such as Microsoft, Adobe, Symantec, Citrix, VMware, Oracle and IBM, that focuses on standard software for technological platforms and critical commercial processes; The Software and Cloud Channel, that offers system integrators and ISVs, which includes license advisory, software sales and access to Crayons Tool and IP; The Software and Cloud Economics services include processes and tools for enabling clients to build in-house Software Asset management capabilities and supports clients in vendor audits; The Consulting that consist of cloud consulting and services related to cloud migration and development; and The Admin and shared segment, that includes administrative income and costs, global costs and elimination. The Company operates worldwide.</v>
    <v>4057</v>
    <v>Oslo Bors Asa</v>
    <v>XOSL</v>
    <v>XOSL</v>
    <v>Sandakerveien 114 A, OSLO, OSLO, 0484 NO</v>
    <v>122.7</v>
    <v>Software &amp; IT Services</v>
    <v>Stock</v>
    <v>45520.666666666664</v>
    <v>469</v>
    <v>121.2</v>
    <v>10802740000</v>
    <v>Crayon Group Holding ASA</v>
    <v>Crayon Group Holding ASA</v>
    <v>122</v>
    <v>0</v>
    <v>120.6</v>
    <v>122.2</v>
    <v>89574920</v>
    <v>CRAYN</v>
    <v>Crayon Group Holding ASA (XOSL:CRAYN)</v>
    <v>138814</v>
    <v>209610</v>
    <v>2011</v>
  </rv>
  <rv s="2">
    <v>470</v>
  </rv>
  <rv s="3">
    <fb>84.7</fb>
    <v>7</v>
  </rv>
  <rv s="3">
    <fb>80.2</fb>
    <v>7</v>
  </rv>
  <rv s="3">
    <fb>78.349999999999994</fb>
    <v>7</v>
  </rv>
  <rv s="3">
    <fb>79.7</fb>
    <v>7</v>
  </rv>
  <rv s="3">
    <fb>78.3</fb>
    <v>7</v>
  </rv>
  <rv s="3">
    <fb>78.599999999999994</fb>
    <v>7</v>
  </rv>
  <rv s="3">
    <fb>78.95</fb>
    <v>7</v>
  </rv>
  <rv s="3">
    <fb>82</fb>
    <v>7</v>
  </rv>
  <rv s="3">
    <fb>82.35</fb>
    <v>7</v>
  </rv>
  <rv s="3">
    <fb>85.85</fb>
    <v>7</v>
  </rv>
  <rv s="3">
    <fb>82.2</fb>
    <v>7</v>
  </rv>
  <rv s="3">
    <fb>84.25</fb>
    <v>7</v>
  </rv>
  <rv s="3">
    <fb>82.25</fb>
    <v>7</v>
  </rv>
  <rv s="3">
    <fb>88.7</fb>
    <v>7</v>
  </rv>
  <rv s="3">
    <fb>89.5</fb>
    <v>7</v>
  </rv>
  <rv s="3">
    <fb>88.95</fb>
    <v>7</v>
  </rv>
  <rv s="3">
    <fb>93</fb>
    <v>7</v>
  </rv>
  <rv s="3">
    <fb>94</fb>
    <v>7</v>
  </rv>
  <rv s="3">
    <fb>89.1</fb>
    <v>7</v>
  </rv>
  <rv s="3">
    <fb>88.85</fb>
    <v>7</v>
  </rv>
  <rv s="3">
    <fb>87.9</fb>
    <v>7</v>
  </rv>
  <rv s="3">
    <fb>85.6</fb>
    <v>7</v>
  </rv>
  <rv s="3">
    <fb>89</fb>
    <v>7</v>
  </rv>
  <rv s="3">
    <fb>87.3</fb>
    <v>7</v>
  </rv>
  <rv s="3">
    <fb>86.8</fb>
    <v>7</v>
  </rv>
  <rv s="3">
    <fb>85.4</fb>
    <v>7</v>
  </rv>
  <rv s="3">
    <fb>86.6</fb>
    <v>7</v>
  </rv>
  <rv s="3">
    <fb>86.1</fb>
    <v>7</v>
  </rv>
  <rv s="3">
    <fb>85.95</fb>
    <v>7</v>
  </rv>
  <rv s="3">
    <fb>91.6</fb>
    <v>7</v>
  </rv>
  <rv s="3">
    <fb>90.55</fb>
    <v>7</v>
  </rv>
  <rv s="3">
    <fb>84.2</fb>
    <v>7</v>
  </rv>
  <rv s="3">
    <fb>82.45</fb>
    <v>7</v>
  </rv>
  <rv s="3">
    <fb>83.3</fb>
    <v>7</v>
  </rv>
  <rv s="3">
    <fb>82.9</fb>
    <v>7</v>
  </rv>
  <rv s="3">
    <fb>77.400000000000006</fb>
    <v>7</v>
  </rv>
  <rv s="3">
    <fb>76.8</fb>
    <v>7</v>
  </rv>
  <rv s="3">
    <fb>79.75</fb>
    <v>7</v>
  </rv>
  <rv s="3">
    <fb>80.650000000000006</fb>
    <v>7</v>
  </rv>
  <rv s="3">
    <fb>81.8</fb>
    <v>7</v>
  </rv>
  <rv s="3">
    <fb>79.849999999999994</fb>
    <v>7</v>
  </rv>
  <rv s="3">
    <fb>77</fb>
    <v>7</v>
  </rv>
  <rv s="3">
    <fb>75.45</fb>
    <v>7</v>
  </rv>
  <rv s="3">
    <fb>75</fb>
    <v>7</v>
  </rv>
  <rv s="3">
    <fb>74.05</fb>
    <v>7</v>
  </rv>
  <rv s="3">
    <fb>74.3</fb>
    <v>7</v>
  </rv>
  <rv s="3">
    <fb>73.5</fb>
    <v>7</v>
  </rv>
  <rv s="3">
    <fb>72.7</fb>
    <v>7</v>
  </rv>
  <rv s="3">
    <fb>74.75</fb>
    <v>7</v>
  </rv>
  <rv s="3">
    <fb>75.7</fb>
    <v>7</v>
  </rv>
  <rv s="3">
    <fb>77.5</fb>
    <v>7</v>
  </rv>
  <rv s="3">
    <fb>76.900000000000006</fb>
    <v>7</v>
  </rv>
  <rv s="3">
    <fb>75.8</fb>
    <v>7</v>
  </rv>
  <rv s="3">
    <fb>76.7</fb>
    <v>7</v>
  </rv>
  <rv s="3">
    <fb>76.25</fb>
    <v>7</v>
  </rv>
  <rv s="3">
    <fb>76.5</fb>
    <v>7</v>
  </rv>
  <rv s="3">
    <fb>77.150000000000006</fb>
    <v>7</v>
  </rv>
  <rv s="3">
    <fb>79.150000000000006</fb>
    <v>7</v>
  </rv>
  <rv s="3">
    <fb>80.099999999999994</fb>
    <v>7</v>
  </rv>
  <rv s="3">
    <fb>79.900000000000006</fb>
    <v>7</v>
  </rv>
  <rv s="3">
    <fb>78</fb>
    <v>7</v>
  </rv>
  <rv s="3">
    <fb>76.45</fb>
    <v>7</v>
  </rv>
  <rv s="3">
    <fb>72.900000000000006</fb>
    <v>7</v>
  </rv>
  <rv s="3">
    <fb>72.55</fb>
    <v>7</v>
  </rv>
  <rv s="3">
    <fb>72.95</fb>
    <v>7</v>
  </rv>
  <rv s="3">
    <fb>71.75</fb>
    <v>7</v>
  </rv>
  <rv s="3">
    <fb>71.45</fb>
    <v>7</v>
  </rv>
  <rv s="3">
    <fb>72.599999999999994</fb>
    <v>7</v>
  </rv>
  <rv s="3">
    <fb>69.45</fb>
    <v>7</v>
  </rv>
  <rv s="3">
    <fb>69.2</fb>
    <v>7</v>
  </rv>
  <rv s="3">
    <fb>73.099999999999994</fb>
    <v>7</v>
  </rv>
  <rv s="3">
    <fb>72.349999999999994</fb>
    <v>7</v>
  </rv>
  <rv s="3">
    <fb>70.849999999999994</fb>
    <v>7</v>
  </rv>
  <rv s="3">
    <fb>73.3</fb>
    <v>7</v>
  </rv>
  <rv s="3">
    <fb>74.8</fb>
    <v>7</v>
  </rv>
  <rv s="3">
    <fb>78.5</fb>
    <v>7</v>
  </rv>
  <rv s="3">
    <fb>81</fb>
    <v>7</v>
  </rv>
  <rv s="3">
    <fb>82.55</fb>
    <v>7</v>
  </rv>
  <rv s="3">
    <fb>85.5</fb>
    <v>7</v>
  </rv>
  <rv s="3">
    <fb>86.55</fb>
    <v>7</v>
  </rv>
  <rv s="3">
    <fb>100</fb>
    <v>7</v>
  </rv>
  <rv s="3">
    <fb>102.9</fb>
    <v>7</v>
  </rv>
  <rv s="3">
    <fb>103.3</fb>
    <v>7</v>
  </rv>
  <rv s="3">
    <fb>100.3</fb>
    <v>7</v>
  </rv>
  <rv s="3">
    <fb>103.5</fb>
    <v>7</v>
  </rv>
  <rv s="3">
    <fb>104.1</fb>
    <v>7</v>
  </rv>
  <rv s="3">
    <fb>108.2</fb>
    <v>7</v>
  </rv>
  <rv s="3">
    <fb>107.3</fb>
    <v>7</v>
  </rv>
  <rv s="3">
    <fb>107.6</fb>
    <v>7</v>
  </rv>
  <rv s="3">
    <fb>107.5</fb>
    <v>7</v>
  </rv>
  <rv s="3">
    <fb>110.8</fb>
    <v>7</v>
  </rv>
  <rv s="3">
    <fb>108.6</fb>
    <v>7</v>
  </rv>
  <rv s="3">
    <fb>112.9</fb>
    <v>7</v>
  </rv>
  <rv s="3">
    <fb>110.6</fb>
    <v>7</v>
  </rv>
  <rv s="3">
    <fb>112.6</fb>
    <v>7</v>
  </rv>
  <rv s="3">
    <fb>113.2</fb>
    <v>7</v>
  </rv>
  <rv s="3">
    <fb>109.9</fb>
    <v>7</v>
  </rv>
  <rv s="3">
    <fb>117.7</fb>
    <v>7</v>
  </rv>
  <rv s="3">
    <fb>116.7</fb>
    <v>7</v>
  </rv>
  <rv s="3">
    <fb>116.2</fb>
    <v>7</v>
  </rv>
  <rv s="3">
    <fb>118.3</fb>
    <v>7</v>
  </rv>
  <rv s="3">
    <fb>116</fb>
    <v>7</v>
  </rv>
  <rv s="3">
    <fb>117.5</fb>
    <v>7</v>
  </rv>
  <rv s="3">
    <fb>115.3</fb>
    <v>7</v>
  </rv>
  <rv s="3">
    <fb>111.5</fb>
    <v>7</v>
  </rv>
  <rv s="3">
    <fb>113.8</fb>
    <v>7</v>
  </rv>
  <rv s="3">
    <fb>116.4</fb>
    <v>7</v>
  </rv>
  <rv s="3">
    <fb>120.3</fb>
    <v>7</v>
  </rv>
  <rv s="3">
    <fb>121.4</fb>
    <v>7</v>
  </rv>
  <rv s="3">
    <fb>122.5</fb>
    <v>7</v>
  </rv>
  <rv s="3">
    <fb>122.2</fb>
    <v>7</v>
  </rv>
  <rv s="3">
    <fb>121.1</fb>
    <v>7</v>
  </rv>
  <rv s="3">
    <fb>123.8</fb>
    <v>7</v>
  </rv>
  <rv s="3">
    <fb>125</fb>
    <v>7</v>
  </rv>
  <rv s="3">
    <fb>123.5</fb>
    <v>7</v>
  </rv>
  <rv s="3">
    <fb>124</fb>
    <v>7</v>
  </rv>
  <rv s="3">
    <fb>127.5</fb>
    <v>7</v>
  </rv>
  <rv s="3">
    <fb>125.7</fb>
    <v>7</v>
  </rv>
  <rv s="3">
    <fb>128.5</fb>
    <v>7</v>
  </rv>
  <rv s="3">
    <fb>127.4</fb>
    <v>7</v>
  </rv>
  <rv s="3">
    <fb>127.3</fb>
    <v>7</v>
  </rv>
  <rv s="3">
    <fb>125.1</fb>
    <v>7</v>
  </rv>
  <rv s="3">
    <fb>126.7</fb>
    <v>7</v>
  </rv>
  <rv s="3">
    <fb>127.9</fb>
    <v>7</v>
  </rv>
  <rv s="3">
    <fb>128.9</fb>
    <v>7</v>
  </rv>
  <rv s="3">
    <fb>126.4</fb>
    <v>7</v>
  </rv>
  <rv s="3">
    <fb>129.30000000000001</fb>
    <v>7</v>
  </rv>
  <rv s="3">
    <fb>126.2</fb>
    <v>7</v>
  </rv>
  <rv s="3">
    <fb>126.6</fb>
    <v>7</v>
  </rv>
  <rv s="3">
    <fb>124.3</fb>
    <v>7</v>
  </rv>
  <rv s="3">
    <fb>122.9</fb>
    <v>7</v>
  </rv>
  <rv s="3">
    <fb>125.5</fb>
    <v>7</v>
  </rv>
  <rv s="3">
    <fb>128.6</fb>
    <v>7</v>
  </rv>
  <rv s="3">
    <fb>130.30000000000001</fb>
    <v>7</v>
  </rv>
  <rv s="3">
    <fb>130.1</fb>
    <v>7</v>
  </rv>
  <rv s="3">
    <fb>115</fb>
    <v>7</v>
  </rv>
  <rv s="3">
    <fb>111</fb>
    <v>7</v>
  </rv>
  <rv s="3">
    <fb>112.8</fb>
    <v>7</v>
  </rv>
  <rv s="3">
    <fb>115.4</fb>
    <v>7</v>
  </rv>
  <rv s="3">
    <fb>113</fb>
    <v>7</v>
  </rv>
  <rv s="3">
    <fb>114.9</fb>
    <v>7</v>
  </rv>
  <rv s="3">
    <fb>114.8</fb>
    <v>7</v>
  </rv>
  <rv s="3">
    <fb>119.4</fb>
    <v>7</v>
  </rv>
  <rv s="3">
    <fb>120.6</fb>
    <v>7</v>
  </rv>
  <rv s="0">
    <v>https://www.bing.com/financeapi/forcetrigger?t=alsyu2&amp;q=XOSL%3aDNB&amp;form=skydnc</v>
    <v>Learn more on Bing</v>
  </rv>
  <rv s="1">
    <v>en-GB</v>
    <v>alsyu2</v>
    <v>268435456</v>
    <v>1</v>
    <v>Powered by Refinitiv</v>
    <v>0</v>
    <v>DNB Bank ASA (XOSL:DNB)</v>
    <v>2</v>
    <v>3</v>
    <v>Finance</v>
    <v>4</v>
    <v>226.1</v>
    <v>192.6</v>
    <v>1.1263000000000001</v>
    <v>1.4</v>
    <v>6.3460000000000009E-3</v>
    <v>NOK</v>
    <v>DNB BANK ASA is a Norway-based financial services group. The DNB Group offers banking, securities and investment services, real estate broking services, insurance and asset management services in the Norwegian and international retail and corporate markets. DNB has four operating segments: Personal customers, Corporate customers, Other operations and Risk management and internal control. The Personal customers segment includes the Group’s personal customers in Norway; The Corporate customers segment includes the Group’s customers in the Norwegian business community and public sector, as well as all international customers and financial institutions; The Other operations segment comprises the business activities in the risk management operations in Markets and traditional pension products in DNB Livsforsikring; and The Risk management and internal control segment's purpose is to achieve an optimal balance between risk and earnings in a long term perspective.</v>
    <v>10617</v>
    <v>Oslo Bors Asa</v>
    <v>XOSL</v>
    <v>XOSL</v>
    <v>Dronning Eufemias gate 30, OSLO, OSLO, 0191 NO</v>
    <v>222.1</v>
    <v>Banking Services</v>
    <v>Stock</v>
    <v>45520.666666666664</v>
    <v>616</v>
    <v>220.6</v>
    <v>329252200000</v>
    <v>DNB Bank ASA</v>
    <v>DNB Bank ASA</v>
    <v>221.3</v>
    <v>8.5978999999999992</v>
    <v>220.6</v>
    <v>222</v>
    <v>1492530000</v>
    <v>DNB</v>
    <v>DNB Bank ASA (XOSL:DNB)</v>
    <v>1042863</v>
    <v>1600740</v>
    <v>2002</v>
  </rv>
  <rv s="2">
    <v>617</v>
  </rv>
  <rv s="3">
    <fb>216</fb>
    <v>7</v>
  </rv>
  <rv s="3">
    <fb>213.1</fb>
    <v>7</v>
  </rv>
  <rv s="3">
    <fb>213.8</fb>
    <v>7</v>
  </rv>
  <rv s="3">
    <fb>216.7</fb>
    <v>7</v>
  </rv>
  <rv s="3">
    <fb>215.5</fb>
    <v>7</v>
  </rv>
  <rv s="3">
    <fb>216.4</fb>
    <v>7</v>
  </rv>
  <rv s="3">
    <fb>214.6</fb>
    <v>7</v>
  </rv>
  <rv s="3">
    <fb>215</fb>
    <v>7</v>
  </rv>
  <rv s="3">
    <fb>216.6</fb>
    <v>7</v>
  </rv>
  <rv s="3">
    <fb>210.2</fb>
    <v>7</v>
  </rv>
  <rv s="3">
    <fb>207.7</fb>
    <v>7</v>
  </rv>
  <rv s="3">
    <fb>210.5</fb>
    <v>7</v>
  </rv>
  <rv s="3">
    <fb>212.8</fb>
    <v>7</v>
  </rv>
  <rv s="3">
    <fb>214.8</fb>
    <v>7</v>
  </rv>
  <rv s="3">
    <fb>214.3</fb>
    <v>7</v>
  </rv>
  <rv s="3">
    <fb>214.7</fb>
    <v>7</v>
  </rv>
  <rv s="3">
    <fb>211.7</fb>
    <v>7</v>
  </rv>
  <rv s="3">
    <fb>211.1</fb>
    <v>7</v>
  </rv>
  <rv s="3">
    <fb>205.1</fb>
    <v>7</v>
  </rv>
  <rv s="3">
    <fb>205.2</fb>
    <v>7</v>
  </rv>
  <rv s="3">
    <fb>207.5</fb>
    <v>7</v>
  </rv>
  <rv s="3">
    <fb>205.4</fb>
    <v>7</v>
  </rv>
  <rv s="3">
    <fb>202.8</fb>
    <v>7</v>
  </rv>
  <rv s="3">
    <fb>201.3</fb>
    <v>7</v>
  </rv>
  <rv s="3">
    <fb>200.8</fb>
    <v>7</v>
  </rv>
  <rv s="3">
    <fb>201.8</fb>
    <v>7</v>
  </rv>
  <rv s="3">
    <fb>201.7</fb>
    <v>7</v>
  </rv>
  <rv s="3">
    <fb>204.8</fb>
    <v>7</v>
  </rv>
  <rv s="3">
    <fb>203.6</fb>
    <v>7</v>
  </rv>
  <rv s="3">
    <fb>206.1</fb>
    <v>7</v>
  </rv>
  <rv s="3">
    <fb>206.8</fb>
    <v>7</v>
  </rv>
  <rv s="3">
    <fb>208.6</fb>
    <v>7</v>
  </rv>
  <rv s="3">
    <fb>205</fb>
    <v>7</v>
  </rv>
  <rv s="3">
    <fb>207.3</fb>
    <v>7</v>
  </rv>
  <rv s="3">
    <fb>207</fb>
    <v>7</v>
  </rv>
  <rv s="3">
    <fb>209.7</fb>
    <v>7</v>
  </rv>
  <rv s="3">
    <fb>211.3</fb>
    <v>7</v>
  </rv>
  <rv s="3">
    <fb>212.3</fb>
    <v>7</v>
  </rv>
  <rv s="3">
    <fb>212.5</fb>
    <v>7</v>
  </rv>
  <rv s="3">
    <fb>213.4</fb>
    <v>7</v>
  </rv>
  <rv s="3">
    <fb>213.3</fb>
    <v>7</v>
  </rv>
  <rv s="3">
    <fb>209.9</fb>
    <v>7</v>
  </rv>
  <rv s="3">
    <fb>212.1</fb>
    <v>7</v>
  </rv>
  <rv s="3">
    <fb>211.8</fb>
    <v>7</v>
  </rv>
  <rv s="3">
    <fb>208</fb>
    <v>7</v>
  </rv>
  <rv s="3">
    <fb>212.6</fb>
    <v>7</v>
  </rv>
  <rv s="3">
    <fb>212.9</fb>
    <v>7</v>
  </rv>
  <rv s="3">
    <fb>213.7</fb>
    <v>7</v>
  </rv>
  <rv s="3">
    <fb>215.1</fb>
    <v>7</v>
  </rv>
  <rv s="3">
    <fb>217.8</fb>
    <v>7</v>
  </rv>
  <rv s="3">
    <fb>217</fb>
    <v>7</v>
  </rv>
  <rv s="3">
    <fb>219</fb>
    <v>7</v>
  </rv>
  <rv s="3">
    <fb>216.3</fb>
    <v>7</v>
  </rv>
  <rv s="3">
    <fb>211.5</fb>
    <v>7</v>
  </rv>
  <rv s="3">
    <fb>208.3</fb>
    <v>7</v>
  </rv>
  <rv s="3">
    <fb>208.5</fb>
    <v>7</v>
  </rv>
  <rv s="3">
    <fb>207.9</fb>
    <v>7</v>
  </rv>
  <rv s="3">
    <fb>211.2</fb>
    <v>7</v>
  </rv>
  <rv s="3">
    <fb>194.1</fb>
    <v>7</v>
  </rv>
  <rv s="3">
    <fb>194.3</fb>
    <v>7</v>
  </rv>
  <rv s="3">
    <fb>196.65</fb>
    <v>7</v>
  </rv>
  <rv s="3">
    <fb>202.2</fb>
    <v>7</v>
  </rv>
  <rv s="3">
    <fb>203</fb>
    <v>7</v>
  </rv>
  <rv s="3">
    <fb>202.6</fb>
    <v>7</v>
  </rv>
  <rv s="3">
    <fb>203.7</fb>
    <v>7</v>
  </rv>
  <rv s="3">
    <fb>206.5</fb>
    <v>7</v>
  </rv>
  <rv s="3">
    <fb>201</fb>
    <v>7</v>
  </rv>
  <rv s="3">
    <fb>203.4</fb>
    <v>7</v>
  </rv>
  <rv s="3">
    <fb>200.7</fb>
    <v>7</v>
  </rv>
  <rv s="3">
    <fb>201.9</fb>
    <v>7</v>
  </rv>
  <rv s="3">
    <fb>201.5</fb>
    <v>7</v>
  </rv>
  <rv s="3">
    <fb>206.7</fb>
    <v>7</v>
  </rv>
  <rv s="3">
    <fb>204.1</fb>
    <v>7</v>
  </rv>
  <rv s="3">
    <fb>203.3</fb>
    <v>7</v>
  </rv>
  <rv s="3">
    <fb>202.9</fb>
    <v>7</v>
  </rv>
  <rv s="3">
    <fb>203.8</fb>
    <v>7</v>
  </rv>
  <rv s="3">
    <fb>202.5</fb>
    <v>7</v>
  </rv>
  <rv s="3">
    <fb>204.5</fb>
    <v>7</v>
  </rv>
  <rv s="3">
    <fb>205.7</fb>
    <v>7</v>
  </rv>
  <rv s="3">
    <fb>208.2</fb>
    <v>7</v>
  </rv>
  <rv s="3">
    <fb>209.3</fb>
    <v>7</v>
  </rv>
  <rv s="3">
    <fb>211</fb>
    <v>7</v>
  </rv>
  <rv s="3">
    <fb>207.2</fb>
    <v>7</v>
  </rv>
  <rv s="3">
    <fb>212.2</fb>
    <v>7</v>
  </rv>
  <rv s="3">
    <fb>209.6</fb>
    <v>7</v>
  </rv>
  <rv s="3">
    <fb>209.5</fb>
    <v>7</v>
  </rv>
  <rv s="3">
    <fb>218.3</fb>
    <v>7</v>
  </rv>
  <rv s="3">
    <fb>217.4</fb>
    <v>7</v>
  </rv>
  <rv s="3">
    <fb>216.8</fb>
    <v>7</v>
  </rv>
  <rv s="3">
    <fb>218.8</fb>
    <v>7</v>
  </rv>
  <rv s="3">
    <fb>222.1</fb>
    <v>7</v>
  </rv>
  <rv s="3">
    <fb>221.8</fb>
    <v>7</v>
  </rv>
  <rv s="3">
    <fb>220</fb>
    <v>7</v>
  </rv>
  <rv s="3">
    <fb>221</fb>
    <v>7</v>
  </rv>
  <rv s="3">
    <fb>222.5</fb>
    <v>7</v>
  </rv>
  <rv s="3">
    <fb>224.5</fb>
    <v>7</v>
  </rv>
  <rv s="3">
    <fb>225.2</fb>
    <v>7</v>
  </rv>
  <rv s="3">
    <fb>225.5</fb>
    <v>7</v>
  </rv>
  <rv s="3">
    <fb>223.6</fb>
    <v>7</v>
  </rv>
  <rv s="3">
    <fb>218.5</fb>
    <v>7</v>
  </rv>
  <rv s="3">
    <fb>209.8</fb>
    <v>7</v>
  </rv>
  <rv s="3">
    <fb>210</fb>
    <v>7</v>
  </rv>
  <rv s="3">
    <fb>215.2</fb>
    <v>7</v>
  </rv>
  <rv s="3">
    <fb>213.9</fb>
    <v>7</v>
  </rv>
  <rv s="3">
    <fb>214.4</fb>
    <v>7</v>
  </rv>
  <rv s="3">
    <fb>216.9</fb>
    <v>7</v>
  </rv>
  <rv s="3">
    <fb>220.8</fb>
    <v>7</v>
  </rv>
  <rv s="3">
    <fb>220.6</fb>
    <v>7</v>
  </rv>
  <rv s="3">
    <fb>222</fb>
    <v>7</v>
  </rv>
  <rv s="0">
    <v>https://www.bing.com/financeapi/forcetrigger?t=alte7w&amp;q=XOSL%3aSVEG&amp;form=skydnc</v>
    <v>Learn more on Bing</v>
  </rv>
  <rv s="1">
    <v>en-GB</v>
    <v>alte7w</v>
    <v>268435456</v>
    <v>1</v>
    <v>Powered by Refinitiv</v>
    <v>0</v>
    <v>Sparebanken Vest (XOSL:SVEG)</v>
    <v>2</v>
    <v>3</v>
    <v>Finance</v>
    <v>4</v>
    <v>140.26</v>
    <v>97.5</v>
    <v>1.0908</v>
    <v>0.02</v>
    <v>1.4530000000000001E-4</v>
    <v>NOK</v>
    <v>Sparebanken Vest is a Norway-based independent savings bank. The Bank provides financial services to both the private and corporate sectors. The Bank offers online and mobile banking services, card issue, payment services, mortgage and different kind of small loans, saving and retire account, property and health insurance and real estate credit among others.</v>
    <v>797</v>
    <v>Oslo Bors Asa</v>
    <v>XOSL</v>
    <v>XOSL</v>
    <v>Jonsvollsgaten 2, BERGEN, HORDALAND, 5011 NO</v>
    <v>138</v>
    <v>Banking Services</v>
    <v>Stock</v>
    <v>45520.666666666664</v>
    <v>728</v>
    <v>136.24</v>
    <v>15097630000</v>
    <v>Sparebanken Vest</v>
    <v>Sparebanken Vest</v>
    <v>138</v>
    <v>9.0236000000000001</v>
    <v>137.6</v>
    <v>137.62</v>
    <v>109721200</v>
    <v>SVEG</v>
    <v>Sparebanken Vest (XOSL:SVEG)</v>
    <v>38139</v>
    <v>61950</v>
    <v>1995</v>
  </rv>
  <rv s="2">
    <v>729</v>
  </rv>
  <rv s="3">
    <fb>109.4</fb>
    <v>7</v>
  </rv>
  <rv s="3">
    <fb>106</fb>
    <v>7</v>
  </rv>
  <rv s="3">
    <fb>107.2</fb>
    <v>7</v>
  </rv>
  <rv s="3">
    <fb>108</fb>
    <v>7</v>
  </rv>
  <rv s="3">
    <fb>108.4</fb>
    <v>7</v>
  </rv>
  <rv s="3">
    <fb>109.8</fb>
    <v>7</v>
  </rv>
  <rv s="3">
    <fb>109.2</fb>
    <v>7</v>
  </rv>
  <rv s="3">
    <fb>110</fb>
    <v>7</v>
  </rv>
  <rv s="3">
    <fb>108.8</fb>
    <v>7</v>
  </rv>
  <rv s="3">
    <fb>106.8</fb>
    <v>7</v>
  </rv>
  <rv s="3">
    <fb>109.6</fb>
    <v>7</v>
  </rv>
  <rv s="3">
    <fb>109</fb>
    <v>7</v>
  </rv>
  <rv s="3">
    <fb>118.8</fb>
    <v>7</v>
  </rv>
  <rv s="3">
    <fb>117.6</fb>
    <v>7</v>
  </rv>
  <rv s="3">
    <fb>118</fb>
    <v>7</v>
  </rv>
  <rv s="3">
    <fb>118.2</fb>
    <v>7</v>
  </rv>
  <rv s="3">
    <fb>119.8</fb>
    <v>7</v>
  </rv>
  <rv s="3">
    <fb>118.4</fb>
    <v>7</v>
  </rv>
  <rv s="3">
    <fb>118.6</fb>
    <v>7</v>
  </rv>
  <rv s="3">
    <fb>117.2</fb>
    <v>7</v>
  </rv>
  <rv s="3">
    <fb>117</fb>
    <v>7</v>
  </rv>
  <rv s="3">
    <fb>115.8</fb>
    <v>7</v>
  </rv>
  <rv s="3">
    <fb>117.4</fb>
    <v>7</v>
  </rv>
  <rv s="3">
    <fb>116.6</fb>
    <v>7</v>
  </rv>
  <rv s="3">
    <fb>120</fb>
    <v>7</v>
  </rv>
  <rv s="3">
    <fb>120.4</fb>
    <v>7</v>
  </rv>
  <rv s="3">
    <fb>121.8</fb>
    <v>7</v>
  </rv>
  <rv s="3">
    <fb>122</fb>
    <v>7</v>
  </rv>
  <rv s="3">
    <fb>120.8</fb>
    <v>7</v>
  </rv>
  <rv s="3">
    <fb>121.6</fb>
    <v>7</v>
  </rv>
  <rv s="3">
    <fb>118.58</fb>
    <v>7</v>
  </rv>
  <rv s="3">
    <fb>120.06</fb>
    <v>7</v>
  </rv>
  <rv s="3">
    <fb>120.2</fb>
    <v>7</v>
  </rv>
  <rv s="3">
    <fb>122.58</fb>
    <v>7</v>
  </rv>
  <rv s="3">
    <fb>121.94</fb>
    <v>7</v>
  </rv>
  <rv s="3">
    <fb>123.7</fb>
    <v>7</v>
  </rv>
  <rv s="3">
    <fb>119.72</fb>
    <v>7</v>
  </rv>
  <rv s="3">
    <fb>119</fb>
    <v>7</v>
  </rv>
  <rv s="3">
    <fb>118.78</fb>
    <v>7</v>
  </rv>
  <rv s="3">
    <fb>118.18</fb>
    <v>7</v>
  </rv>
  <rv s="3">
    <fb>117.98</fb>
    <v>7</v>
  </rv>
  <rv s="3">
    <fb>118.86</fb>
    <v>7</v>
  </rv>
  <rv s="3">
    <fb>121.86</fb>
    <v>7</v>
  </rv>
  <rv s="3">
    <fb>121.46</fb>
    <v>7</v>
  </rv>
  <rv s="3">
    <fb>123.96</fb>
    <v>7</v>
  </rv>
  <rv s="3">
    <fb>123.58</fb>
    <v>7</v>
  </rv>
  <rv s="3">
    <fb>123.32</fb>
    <v>7</v>
  </rv>
  <rv s="3">
    <fb>127.78</fb>
    <v>7</v>
  </rv>
  <rv s="3">
    <fb>124.8</fb>
    <v>7</v>
  </rv>
  <rv s="3">
    <fb>124.62</fb>
    <v>7</v>
  </rv>
  <rv s="3">
    <fb>125.62</fb>
    <v>7</v>
  </rv>
  <rv s="3">
    <fb>126.36</fb>
    <v>7</v>
  </rv>
  <rv s="3">
    <fb>126.24</fb>
    <v>7</v>
  </rv>
  <rv s="3">
    <fb>127.88</fb>
    <v>7</v>
  </rv>
  <rv s="3">
    <fb>131.16</fb>
    <v>7</v>
  </rv>
  <rv s="3">
    <fb>129.04</fb>
    <v>7</v>
  </rv>
  <rv s="3">
    <fb>128.72</fb>
    <v>7</v>
  </rv>
  <rv s="3">
    <fb>125.8</fb>
    <v>7</v>
  </rv>
  <rv s="3">
    <fb>127.18</fb>
    <v>7</v>
  </rv>
  <rv s="3">
    <fb>129</fb>
    <v>7</v>
  </rv>
  <rv s="3">
    <fb>129.74</fb>
    <v>7</v>
  </rv>
  <rv s="3">
    <fb>128.91999999999999</fb>
    <v>7</v>
  </rv>
  <rv s="3">
    <fb>130</fb>
    <v>7</v>
  </rv>
  <rv s="3">
    <fb>130.94</fb>
    <v>7</v>
  </rv>
  <rv s="3">
    <fb>131.68</fb>
    <v>7</v>
  </rv>
  <rv s="3">
    <fb>128.12</fb>
    <v>7</v>
  </rv>
  <rv s="3">
    <fb>126.54</fb>
    <v>7</v>
  </rv>
  <rv s="3">
    <fb>125.92</fb>
    <v>7</v>
  </rv>
  <rv s="3">
    <fb>124.26</fb>
    <v>7</v>
  </rv>
  <rv s="3">
    <fb>125.58</fb>
    <v>7</v>
  </rv>
  <rv s="3">
    <fb>123.2</fb>
    <v>7</v>
  </rv>
  <rv s="3">
    <fb>126.58</fb>
    <v>7</v>
  </rv>
  <rv s="3">
    <fb>126.82</fb>
    <v>7</v>
  </rv>
  <rv s="3">
    <fb>127.16</fb>
    <v>7</v>
  </rv>
  <rv s="3">
    <fb>126.38</fb>
    <v>7</v>
  </rv>
  <rv s="3">
    <fb>127.1</fb>
    <v>7</v>
  </rv>
  <rv s="3">
    <fb>124.84</fb>
    <v>7</v>
  </rv>
  <rv s="3">
    <fb>125.54</fb>
    <v>7</v>
  </rv>
  <rv s="3">
    <fb>129.84</fb>
    <v>7</v>
  </rv>
  <rv s="3">
    <fb>131.6</fb>
    <v>7</v>
  </rv>
  <rv s="3">
    <fb>130.88</fb>
    <v>7</v>
  </rv>
  <rv s="3">
    <fb>133.5</fb>
    <v>7</v>
  </rv>
  <rv s="3">
    <fb>128</fb>
    <v>7</v>
  </rv>
  <rv s="3">
    <fb>129.32</fb>
    <v>7</v>
  </rv>
  <rv s="3">
    <fb>130.4</fb>
    <v>7</v>
  </rv>
  <rv s="3">
    <fb>129.80000000000001</fb>
    <v>7</v>
  </rv>
  <rv s="3">
    <fb>129.22</fb>
    <v>7</v>
  </rv>
  <rv s="3">
    <fb>130.80000000000001</fb>
    <v>7</v>
  </rv>
  <rv s="3">
    <fb>130.66</fb>
    <v>7</v>
  </rv>
  <rv s="3">
    <fb>132.34</fb>
    <v>7</v>
  </rv>
  <rv s="3">
    <fb>132.36000000000001</fb>
    <v>7</v>
  </rv>
  <rv s="3">
    <fb>133.1</fb>
    <v>7</v>
  </rv>
  <rv s="3">
    <fb>132.32</fb>
    <v>7</v>
  </rv>
  <rv s="3">
    <fb>133.74</fb>
    <v>7</v>
  </rv>
  <rv s="3">
    <fb>136</fb>
    <v>7</v>
  </rv>
  <rv s="3">
    <fb>136.5</fb>
    <v>7</v>
  </rv>
  <rv s="3">
    <fb>140</fb>
    <v>7</v>
  </rv>
  <rv s="3">
    <fb>137.24</fb>
    <v>7</v>
  </rv>
  <rv s="3">
    <fb>133.30000000000001</fb>
    <v>7</v>
  </rv>
  <rv s="3">
    <fb>129.46</fb>
    <v>7</v>
  </rv>
  <rv s="3">
    <fb>132.5</fb>
    <v>7</v>
  </rv>
  <rv s="3">
    <fb>133.22</fb>
    <v>7</v>
  </rv>
  <rv s="3">
    <fb>135.80000000000001</fb>
    <v>7</v>
  </rv>
  <rv s="3">
    <fb>137.6</fb>
    <v>7</v>
  </rv>
  <rv s="3">
    <fb>137.62</fb>
    <v>7</v>
  </rv>
  <rv s="0">
    <v>https://www.bing.com/financeapi/forcetrigger?t=altejc&amp;q=XOSL%3aTGS&amp;form=skydnc</v>
    <v>Learn more on Bing</v>
  </rv>
  <rv s="1">
    <v>en-GB</v>
    <v>altejc</v>
    <v>268435456</v>
    <v>1</v>
    <v>Powered by Refinitiv</v>
    <v>0</v>
    <v>TGS ASA (XOSL:TGS)</v>
    <v>2</v>
    <v>3</v>
    <v>Finance</v>
    <v>4</v>
    <v>162.1</v>
    <v>94.3</v>
    <v>1.8960999999999999</v>
    <v>1</v>
    <v>8.0520000000000001E-3</v>
    <v>NOK</v>
    <v>TGS ASA is a Norway-based energy data and intelligence company. primary business is to provide data and intelligence to companies and investors across the energy spectrum. TGS offers global data libraries that include seismic data, magnetic and gravity data, multi-beam and coring, digital well log and production data, wind energy data, and other data related to the renewables sector. TGS also offers specialized services such as advanced processing and analytics, and cloud-based data applications and solutions. The Company has its corporate headquarters in Oslo, Norway, and its operational headquarters in Houston, Texas, U.S.A. The Company’s other main offices are in the United Kingdom, Brazil and Perth, with additional employees located in other cities around the globe.</v>
    <v>873</v>
    <v>Oslo Bors Asa</v>
    <v>XOSL</v>
    <v>XOSL</v>
    <v>Askekroken 11, OSLO, OSLO, 0277 NO</v>
    <v>126.7</v>
    <v>Oil &amp; Gas Related Equipment and Services</v>
    <v>Stock</v>
    <v>45520.666666666664</v>
    <v>836</v>
    <v>124.5</v>
    <v>24377140000</v>
    <v>TGS ASA</v>
    <v>TGS ASA</v>
    <v>125.9</v>
    <v>58.75</v>
    <v>124.2</v>
    <v>125.2</v>
    <v>196273300</v>
    <v>TGS</v>
    <v>TGS ASA (XOSL:TGS)</v>
    <v>234663</v>
    <v>430750</v>
    <v>1996</v>
  </rv>
  <rv s="2">
    <v>837</v>
  </rv>
  <rv s="3">
    <fb>132.19999999999999</fb>
    <v>7</v>
  </rv>
  <rv s="3">
    <fb>134</fb>
    <v>7</v>
  </rv>
  <rv s="3">
    <fb>133.4</fb>
    <v>7</v>
  </rv>
  <rv s="3">
    <fb>134.30000000000001</fb>
    <v>7</v>
  </rv>
  <rv s="3">
    <fb>130.5</fb>
    <v>7</v>
  </rv>
  <rv s="3">
    <fb>129.9</fb>
    <v>7</v>
  </rv>
  <rv s="3">
    <fb>110.3</fb>
    <v>7</v>
  </rv>
  <rv s="3">
    <fb>111.6</fb>
    <v>7</v>
  </rv>
  <rv s="3">
    <fb>108.5</fb>
    <v>7</v>
  </rv>
  <rv s="3">
    <fb>108.9</fb>
    <v>7</v>
  </rv>
  <rv s="3">
    <fb>107.4</fb>
    <v>7</v>
  </rv>
  <rv s="3">
    <fb>103.2</fb>
    <v>7</v>
  </rv>
  <rv s="3">
    <fb>102.3</fb>
    <v>7</v>
  </rv>
  <rv s="3">
    <fb>101.8</fb>
    <v>7</v>
  </rv>
  <rv s="3">
    <fb>104.6</fb>
    <v>7</v>
  </rv>
  <rv s="3">
    <fb>106.1</fb>
    <v>7</v>
  </rv>
  <rv s="3">
    <fb>105.8</fb>
    <v>7</v>
  </rv>
  <rv s="3">
    <fb>103.9</fb>
    <v>7</v>
  </rv>
  <rv s="3">
    <fb>100.5</fb>
    <v>7</v>
  </rv>
  <rv s="3">
    <fb>101.7</fb>
    <v>7</v>
  </rv>
  <rv s="3">
    <fb>99.8</fb>
    <v>7</v>
  </rv>
  <rv s="3">
    <fb>96.5</fb>
    <v>7</v>
  </rv>
  <rv s="3">
    <fb>97.8</fb>
    <v>7</v>
  </rv>
  <rv s="3">
    <fb>95.75</fb>
    <v>7</v>
  </rv>
  <rv s="3">
    <fb>97.5</fb>
    <v>7</v>
  </rv>
  <rv s="3">
    <fb>96</fb>
    <v>7</v>
  </rv>
  <rv s="3">
    <fb>98.85</fb>
    <v>7</v>
  </rv>
  <rv s="3">
    <fb>99.15</fb>
    <v>7</v>
  </rv>
  <rv s="3">
    <fb>105.2</fb>
    <v>7</v>
  </rv>
  <rv s="3">
    <fb>101</fb>
    <v>7</v>
  </rv>
  <rv s="3">
    <fb>100.6</fb>
    <v>7</v>
  </rv>
  <rv s="3">
    <fb>99.3</fb>
    <v>7</v>
  </rv>
  <rv s="3">
    <fb>98</fb>
    <v>7</v>
  </rv>
  <rv s="3">
    <fb>99.6</fb>
    <v>7</v>
  </rv>
  <rv s="3">
    <fb>100.2</fb>
    <v>7</v>
  </rv>
  <rv s="3">
    <fb>100.8</fb>
    <v>7</v>
  </rv>
  <rv s="3">
    <fb>104.5</fb>
    <v>7</v>
  </rv>
  <rv s="3">
    <fb>106.3</fb>
    <v>7</v>
  </rv>
  <rv s="3">
    <fb>103.1</fb>
    <v>7</v>
  </rv>
  <rv s="3">
    <fb>107</fb>
    <v>7</v>
  </rv>
  <rv s="3">
    <fb>106.5</fb>
    <v>7</v>
  </rv>
  <rv s="3">
    <fb>104</fb>
    <v>7</v>
  </rv>
  <rv s="3">
    <fb>110.9</fb>
    <v>7</v>
  </rv>
  <rv s="3">
    <fb>109.5</fb>
    <v>7</v>
  </rv>
  <rv s="3">
    <fb>113.3</fb>
    <v>7</v>
  </rv>
  <rv s="3">
    <fb>117.9</fb>
    <v>7</v>
  </rv>
  <rv s="3">
    <fb>119.3</fb>
    <v>7</v>
  </rv>
  <rv s="3">
    <fb>131.9</fb>
    <v>7</v>
  </rv>
  <rv s="3">
    <fb>136.6</fb>
    <v>7</v>
  </rv>
  <rv s="3">
    <fb>135</fb>
    <v>7</v>
  </rv>
  <rv s="3">
    <fb>131.19999999999999</fb>
    <v>7</v>
  </rv>
  <rv s="3">
    <fb>132.69999999999999</fb>
    <v>7</v>
  </rv>
  <rv s="3">
    <fb>131.4</fb>
    <v>7</v>
  </rv>
  <rv s="3">
    <fb>127.8</fb>
    <v>7</v>
  </rv>
  <rv s="3">
    <fb>125.9</fb>
    <v>7</v>
  </rv>
  <rv s="3">
    <fb>126.1</fb>
    <v>7</v>
  </rv>
  <rv s="3">
    <fb>125.6</fb>
    <v>7</v>
  </rv>
  <rv s="3">
    <fb>129.5</fb>
    <v>7</v>
  </rv>
  <rv s="3">
    <fb>127.2</fb>
    <v>7</v>
  </rv>
  <rv s="3">
    <fb>122.7</fb>
    <v>7</v>
  </rv>
  <rv s="3">
    <fb>119.6</fb>
    <v>7</v>
  </rv>
  <rv s="3">
    <fb>117.3</fb>
    <v>7</v>
  </rv>
  <rv s="3">
    <fb>118.1</fb>
    <v>7</v>
  </rv>
  <rv s="3">
    <fb>119.9</fb>
    <v>7</v>
  </rv>
  <rv s="3">
    <fb>118.9</fb>
    <v>7</v>
  </rv>
  <rv s="3">
    <fb>123.6</fb>
    <v>7</v>
  </rv>
  <rv s="3">
    <fb>124.9</fb>
    <v>7</v>
  </rv>
  <rv s="3">
    <fb>129.4</fb>
    <v>7</v>
  </rv>
  <rv s="3">
    <fb>130.19999999999999</fb>
    <v>7</v>
  </rv>
  <rv s="3">
    <fb>135.5</fb>
    <v>7</v>
  </rv>
  <rv s="3">
    <fb>137</fb>
    <v>7</v>
  </rv>
  <rv s="3">
    <fb>133.6</fb>
    <v>7</v>
  </rv>
  <rv s="3">
    <fb>123.9</fb>
    <v>7</v>
  </rv>
  <rv s="3">
    <fb>122.3</fb>
    <v>7</v>
  </rv>
  <rv s="3">
    <fb>124.2</fb>
    <v>7</v>
  </rv>
  <rv s="3">
    <fb>125.4</fb>
    <v>7</v>
  </rv>
  <rv s="3">
    <fb>115.5</fb>
    <v>7</v>
  </rv>
  <rv s="3">
    <fb>123</fb>
    <v>7</v>
  </rv>
  <rv s="3">
    <fb>121.3</fb>
    <v>7</v>
  </rv>
  <rv s="3">
    <fb>121.5</fb>
    <v>7</v>
  </rv>
  <rv s="3">
    <fb>128.19999999999999</fb>
    <v>7</v>
  </rv>
  <rv s="3">
    <fb>129.6</fb>
    <v>7</v>
  </rv>
  <rv s="3">
    <fb>131.69999999999999</fb>
    <v>7</v>
  </rv>
  <rv s="3">
    <fb>131.5</fb>
    <v>7</v>
  </rv>
  <rv s="3">
    <fb>129.69999999999999</fb>
    <v>7</v>
  </rv>
  <rv s="3">
    <fb>131.80000000000001</fb>
    <v>7</v>
  </rv>
  <rv s="3">
    <fb>128.4</fb>
    <v>7</v>
  </rv>
  <rv s="3">
    <fb>126.9</fb>
    <v>7</v>
  </rv>
  <rv s="3">
    <fb>131</fb>
    <v>7</v>
  </rv>
  <rv s="3">
    <fb>137.1</fb>
    <v>7</v>
  </rv>
  <rv s="3">
    <fb>138</fb>
    <v>7</v>
  </rv>
  <rv s="3">
    <fb>138.80000000000001</fb>
    <v>7</v>
  </rv>
  <rv s="3">
    <fb>135.19999999999999</fb>
    <v>7</v>
  </rv>
  <rv s="3">
    <fb>132.80000000000001</fb>
    <v>7</v>
  </rv>
  <rv s="3">
    <fb>132.9</fb>
    <v>7</v>
  </rv>
  <rv s="3">
    <fb>133.69999999999999</fb>
    <v>7</v>
  </rv>
  <rv s="3">
    <fb>131.30000000000001</fb>
    <v>7</v>
  </rv>
  <rv s="3">
    <fb>126.5</fb>
    <v>7</v>
  </rv>
  <rv s="3">
    <fb>123.3</fb>
    <v>7</v>
  </rv>
  <rv s="3">
    <fb>122.6</fb>
    <v>7</v>
  </rv>
  <rv s="3">
    <fb>124.1</fb>
    <v>7</v>
  </rv>
  <rv s="3">
    <fb>125.2</fb>
    <v>7</v>
  </rv>
  <rv s="0">
    <v>https://www.bing.com/financeapi/forcetrigger?t=alt3zr&amp;q=XOSL%3aKOG&amp;form=skydnc</v>
    <v>Learn more on Bing</v>
  </rv>
  <rv s="1">
    <v>en-GB</v>
    <v>alt3zr</v>
    <v>268435456</v>
    <v>1</v>
    <v>Powered by Refinitiv</v>
    <v>0</v>
    <v>Kongsberg Gruppen ASA (XOSL:KOG)</v>
    <v>2</v>
    <v>3</v>
    <v>Finance</v>
    <v>4</v>
    <v>1121</v>
    <v>426</v>
    <v>0.5534</v>
    <v>16</v>
    <v>1.4678999999999999E-2</v>
    <v>NOK</v>
    <v>Kongsberg Gruppen ASA is a Norway-based international technology company, whose objective is to engage in technological and industrial activities in the maritime, defense and related sectors. The Company has three operating segments organized by industry: Kongsberg Maritime (KM), Kongsberg Defense &amp; Aerospace (KDA) and Kongsberg Digital (KDI). Kongsberg Maritime develops and supplies technology that contribute to the realization of sustainable management of the ocean space, Kongsberg Defense &amp; Aerospace supplies various systems and services to the defense industry, while Kongsberg Digital is focused on taking up new and strengthening existing positions related to digitalization within the oil and gas, wind and merchant marine markets. Kongsberg Gruppen ASA has several subsidiaries, including Kongsberg Defence &amp; Aerospace AS, Kongsberg Martime China Ltd, Kongsberg Oil &amp; Gas Tecnologies AS og Kongsberg Maritime AS.</v>
    <v>13898</v>
    <v>Oslo Bors Asa</v>
    <v>XOSL</v>
    <v>XOSL</v>
    <v>Kirkegardsveien 45, KONGSBERG, BUSKERUD, 3616 NO</v>
    <v>1106</v>
    <v>Aerospace &amp; Defense</v>
    <v>Stock</v>
    <v>45520.666666666664</v>
    <v>941</v>
    <v>1092</v>
    <v>191754800000</v>
    <v>Kongsberg Gruppen ASA</v>
    <v>Kongsberg Gruppen ASA</v>
    <v>1092</v>
    <v>43.170400000000001</v>
    <v>1090</v>
    <v>1106</v>
    <v>175921800</v>
    <v>KOG</v>
    <v>Kongsberg Gruppen ASA (XOSL:KOG)</v>
    <v>144552</v>
    <v>166190</v>
    <v>1995</v>
  </rv>
  <rv s="2">
    <v>942</v>
  </rv>
  <rv s="3">
    <fb>465.4</fb>
    <v>7</v>
  </rv>
  <rv s="3">
    <fb>471</fb>
    <v>7</v>
  </rv>
  <rv s="3">
    <fb>470.8</fb>
    <v>7</v>
  </rv>
  <rv s="3">
    <fb>482.8</fb>
    <v>7</v>
  </rv>
  <rv s="3">
    <fb>483.2</fb>
    <v>7</v>
  </rv>
  <rv s="3">
    <fb>481.8</fb>
    <v>7</v>
  </rv>
  <rv s="3">
    <fb>495.4</fb>
    <v>7</v>
  </rv>
  <rv s="3">
    <fb>499.8</fb>
    <v>7</v>
  </rv>
  <rv s="3">
    <fb>505</fb>
    <v>7</v>
  </rv>
  <rv s="3">
    <fb>513.5</fb>
    <v>7</v>
  </rv>
  <rv s="3">
    <fb>511</fb>
    <v>7</v>
  </rv>
  <rv s="3">
    <fb>521</fb>
    <v>7</v>
  </rv>
  <rv s="3">
    <fb>526</fb>
    <v>7</v>
  </rv>
  <rv s="3">
    <fb>529.5</fb>
    <v>7</v>
  </rv>
  <rv s="3">
    <fb>525</fb>
    <v>7</v>
  </rv>
  <rv s="3">
    <fb>527</fb>
    <v>7</v>
  </rv>
  <rv s="3">
    <fb>526.5</fb>
    <v>7</v>
  </rv>
  <rv s="3">
    <fb>533.5</fb>
    <v>7</v>
  </rv>
  <rv s="3">
    <fb>529</fb>
    <v>7</v>
  </rv>
  <rv s="3">
    <fb>537</fb>
    <v>7</v>
  </rv>
  <rv s="3">
    <fb>539</fb>
    <v>7</v>
  </rv>
  <rv s="3">
    <fb>540</fb>
    <v>7</v>
  </rv>
  <rv s="3">
    <fb>541</fb>
    <v>7</v>
  </rv>
  <rv s="3">
    <fb>544</fb>
    <v>7</v>
  </rv>
  <rv s="3">
    <fb>547</fb>
    <v>7</v>
  </rv>
  <rv s="3">
    <fb>547.5</fb>
    <v>7</v>
  </rv>
  <rv s="3">
    <fb>543</fb>
    <v>7</v>
  </rv>
  <rv s="3">
    <fb>600</fb>
    <v>7</v>
  </rv>
  <rv s="3">
    <fb>626</fb>
    <v>7</v>
  </rv>
  <rv s="3">
    <fb>629</fb>
    <v>7</v>
  </rv>
  <rv s="3">
    <fb>650.5</fb>
    <v>7</v>
  </rv>
  <rv s="3">
    <fb>652</fb>
    <v>7</v>
  </rv>
  <rv s="3">
    <fb>655</fb>
    <v>7</v>
  </rv>
  <rv s="3">
    <fb>662.5</fb>
    <v>7</v>
  </rv>
  <rv s="3">
    <fb>662</fb>
    <v>7</v>
  </rv>
  <rv s="3">
    <fb>661</fb>
    <v>7</v>
  </rv>
  <rv s="3">
    <fb>663.5</fb>
    <v>7</v>
  </rv>
  <rv s="3">
    <fb>670</fb>
    <v>7</v>
  </rv>
  <rv s="3">
    <fb>677.5</fb>
    <v>7</v>
  </rv>
  <rv s="3">
    <fb>672.5</fb>
    <v>7</v>
  </rv>
  <rv s="3">
    <fb>675.5</fb>
    <v>7</v>
  </rv>
  <rv s="3">
    <fb>676.5</fb>
    <v>7</v>
  </rv>
  <rv s="3">
    <fb>681.5</fb>
    <v>7</v>
  </rv>
  <rv s="3">
    <fb>686</fb>
    <v>7</v>
  </rv>
  <rv s="3">
    <fb>689.5</fb>
    <v>7</v>
  </rv>
  <rv s="3">
    <fb>672</fb>
    <v>7</v>
  </rv>
  <rv s="3">
    <fb>675</fb>
    <v>7</v>
  </rv>
  <rv s="3">
    <fb>663</fb>
    <v>7</v>
  </rv>
  <rv s="3">
    <fb>669</fb>
    <v>7</v>
  </rv>
  <rv s="3">
    <fb>669.5</fb>
    <v>7</v>
  </rv>
  <rv s="3">
    <fb>676</fb>
    <v>7</v>
  </rv>
  <rv s="3">
    <fb>684</fb>
    <v>7</v>
  </rv>
  <rv s="3">
    <fb>710.5</fb>
    <v>7</v>
  </rv>
  <rv s="3">
    <fb>712.5</fb>
    <v>7</v>
  </rv>
  <rv s="3">
    <fb>720</fb>
    <v>7</v>
  </rv>
  <rv s="3">
    <fb>718</fb>
    <v>7</v>
  </rv>
  <rv s="3">
    <fb>737</fb>
    <v>7</v>
  </rv>
  <rv s="3">
    <fb>743.5</fb>
    <v>7</v>
  </rv>
  <rv s="3">
    <fb>747</fb>
    <v>7</v>
  </rv>
  <rv s="3">
    <fb>749.5</fb>
    <v>7</v>
  </rv>
  <rv s="3">
    <fb>744</fb>
    <v>7</v>
  </rv>
  <rv s="3">
    <fb>751.5</fb>
    <v>7</v>
  </rv>
  <rv s="3">
    <fb>740</fb>
    <v>7</v>
  </rv>
  <rv s="3">
    <fb>758.5</fb>
    <v>7</v>
  </rv>
  <rv s="3">
    <fb>764.5</fb>
    <v>7</v>
  </rv>
  <rv s="3">
    <fb>723</fb>
    <v>7</v>
  </rv>
  <rv s="3">
    <fb>750.5</fb>
    <v>7</v>
  </rv>
  <rv s="3">
    <fb>752.5</fb>
    <v>7</v>
  </rv>
  <rv s="3">
    <fb>769</fb>
    <v>7</v>
  </rv>
  <rv s="3">
    <fb>773</fb>
    <v>7</v>
  </rv>
  <rv s="3">
    <fb>760.5</fb>
    <v>7</v>
  </rv>
  <rv s="3">
    <fb>748.5</fb>
    <v>7</v>
  </rv>
  <rv s="3">
    <fb>749</fb>
    <v>7</v>
  </rv>
  <rv s="3">
    <fb>761</fb>
    <v>7</v>
  </rv>
  <rv s="3">
    <fb>777.5</fb>
    <v>7</v>
  </rv>
  <rv s="3">
    <fb>755</fb>
    <v>7</v>
  </rv>
  <rv s="3">
    <fb>759</fb>
    <v>7</v>
  </rv>
  <rv s="3">
    <fb>765</fb>
    <v>7</v>
  </rv>
  <rv s="3">
    <fb>786</fb>
    <v>7</v>
  </rv>
  <rv s="3">
    <fb>792</fb>
    <v>7</v>
  </rv>
  <rv s="3">
    <fb>800</fb>
    <v>7</v>
  </rv>
  <rv s="3">
    <fb>821.5</fb>
    <v>7</v>
  </rv>
  <rv s="3">
    <fb>815.5</fb>
    <v>7</v>
  </rv>
  <rv s="3">
    <fb>818.5</fb>
    <v>7</v>
  </rv>
  <rv s="3">
    <fb>831.5</fb>
    <v>7</v>
  </rv>
  <rv s="3">
    <fb>842</fb>
    <v>7</v>
  </rv>
  <rv s="3">
    <fb>832.5</fb>
    <v>7</v>
  </rv>
  <rv s="3">
    <fb>848</fb>
    <v>7</v>
  </rv>
  <rv s="3">
    <fb>863.5</fb>
    <v>7</v>
  </rv>
  <rv s="3">
    <fb>875.5</fb>
    <v>7</v>
  </rv>
  <rv s="3">
    <fb>887</fb>
    <v>7</v>
  </rv>
  <rv s="3">
    <fb>905</fb>
    <v>7</v>
  </rv>
  <rv s="3">
    <fb>904.5</fb>
    <v>7</v>
  </rv>
  <rv s="3">
    <fb>891.5</fb>
    <v>7</v>
  </rv>
  <rv s="3">
    <fb>885</fb>
    <v>7</v>
  </rv>
  <rv s="3">
    <fb>890</fb>
    <v>7</v>
  </rv>
  <rv s="3">
    <fb>901.5</fb>
    <v>7</v>
  </rv>
  <rv s="3">
    <fb>915</fb>
    <v>7</v>
  </rv>
  <rv s="3">
    <fb>881</fb>
    <v>7</v>
  </rv>
  <rv s="3">
    <fb>893</fb>
    <v>7</v>
  </rv>
  <rv s="3">
    <fb>932</fb>
    <v>7</v>
  </rv>
  <rv s="3">
    <fb>923</fb>
    <v>7</v>
  </rv>
  <rv s="3">
    <fb>920</fb>
    <v>7</v>
  </rv>
  <rv s="3">
    <fb>914</fb>
    <v>7</v>
  </rv>
  <rv s="3">
    <fb>871.5</fb>
    <v>7</v>
  </rv>
  <rv s="3">
    <fb>867.5</fb>
    <v>7</v>
  </rv>
  <rv s="3">
    <fb>873</fb>
    <v>7</v>
  </rv>
  <rv s="3">
    <fb>874.5</fb>
    <v>7</v>
  </rv>
  <rv s="3">
    <fb>874</fb>
    <v>7</v>
  </rv>
  <rv s="3">
    <fb>892</fb>
    <v>7</v>
  </rv>
  <rv s="3">
    <fb>876.5</fb>
    <v>7</v>
  </rv>
  <rv s="3">
    <fb>871</fb>
    <v>7</v>
  </rv>
  <rv s="3">
    <fb>855.5</fb>
    <v>7</v>
  </rv>
  <rv s="3">
    <fb>870</fb>
    <v>7</v>
  </rv>
  <rv s="3">
    <fb>881.5</fb>
    <v>7</v>
  </rv>
  <rv s="3">
    <fb>878</fb>
    <v>7</v>
  </rv>
  <rv s="3">
    <fb>882.5</fb>
    <v>7</v>
  </rv>
  <rv s="3">
    <fb>894</fb>
    <v>7</v>
  </rv>
  <rv s="3">
    <fb>993</fb>
    <v>7</v>
  </rv>
  <rv s="3">
    <fb>1033</fb>
    <v>7</v>
  </rv>
  <rv s="3">
    <fb>1061</fb>
    <v>7</v>
  </rv>
  <rv s="3">
    <fb>1058</fb>
    <v>7</v>
  </rv>
  <rv s="3">
    <fb>1073</fb>
    <v>7</v>
  </rv>
  <rv s="3">
    <fb>1063</fb>
    <v>7</v>
  </rv>
  <rv s="3">
    <fb>1066</fb>
    <v>7</v>
  </rv>
  <rv s="3">
    <fb>1065</fb>
    <v>7</v>
  </rv>
  <rv s="3">
    <fb>1088</fb>
    <v>7</v>
  </rv>
  <rv s="3">
    <fb>1110</fb>
    <v>7</v>
  </rv>
  <rv s="3">
    <fb>1096</fb>
    <v>7</v>
  </rv>
  <rv s="3">
    <fb>1051</fb>
    <v>7</v>
  </rv>
  <rv s="3">
    <fb>1082</fb>
    <v>7</v>
  </rv>
  <rv s="3">
    <fb>1080</fb>
    <v>7</v>
  </rv>
  <rv s="3">
    <fb>1085</fb>
    <v>7</v>
  </rv>
  <rv s="3">
    <fb>1084</fb>
    <v>7</v>
  </rv>
  <rv s="3">
    <fb>1039</fb>
    <v>7</v>
  </rv>
  <rv s="3">
    <fb>1013</fb>
    <v>7</v>
  </rv>
  <rv s="3">
    <fb>1037</fb>
    <v>7</v>
  </rv>
  <rv s="3">
    <fb>1046</fb>
    <v>7</v>
  </rv>
  <rv s="3">
    <fb>1064</fb>
    <v>7</v>
  </rv>
  <rv s="3">
    <fb>1074</fb>
    <v>7</v>
  </rv>
  <rv s="3">
    <fb>1101</fb>
    <v>7</v>
  </rv>
  <rv s="3">
    <fb>1090</fb>
    <v>7</v>
  </rv>
  <rv s="3">
    <fb>1106</fb>
    <v>7</v>
  </rv>
  <rv s="0">
    <v>https://www.bing.com/financeapi/forcetrigger?t=altdpr&amp;q=XOSL%3aSCATC&amp;form=skydnc</v>
    <v>Learn more on Bing</v>
  </rv>
  <rv s="1">
    <v>en-GB</v>
    <v>altdpr</v>
    <v>268435456</v>
    <v>1</v>
    <v>Powered by Refinitiv</v>
    <v>0</v>
    <v>Scatec ASA (XOSL:SCATC)</v>
    <v>2</v>
    <v>3</v>
    <v>Finance</v>
    <v>4</v>
    <v>91.45</v>
    <v>52.5</v>
    <v>1.4442999999999999</v>
    <v>-3</v>
    <v>-3.4091000000000003E-2</v>
    <v>NOK</v>
    <v>Scatec ASA is a Norway-based renewable energy solutions provider. The Company develops, builds, owes and operates solar, wind and hydro power plants and storage solutions across four continents. Scatec reports on four operating business segments: Power Production (PP), Services, Development &amp; Construction (D&amp;C) and Corporate. The Power Production segment manages the Group’s power producing assets and derives its revenue from the production and sale of solar, winds and hydro generated electricity based on long-term Power Purchase Agreements or Feed-inTariffs. The Services segment comprises Operations &amp; Maintenance (O&amp;M) and Asset Management services provided to solar and hydro power plants where Scatec has economic interest. The Development &amp; Construction segment derives its revenue from the sale of development rights and construction services to project entities. Corporate consists of the activities of corporate and management services.</v>
    <v>751</v>
    <v>Oslo Bors Asa</v>
    <v>XOSL</v>
    <v>XOSL</v>
    <v>Askekroken 11, OSLO, OSLO, 0277 NO</v>
    <v>86.75</v>
    <v>Electrical Utilities &amp; IPPs</v>
    <v>Stock</v>
    <v>45520.666666666664</v>
    <v>1087</v>
    <v>81.849999999999994</v>
    <v>13507970000</v>
    <v>Scatec ASA</v>
    <v>Scatec ASA</v>
    <v>85.9</v>
    <v>42.410899999999998</v>
    <v>88</v>
    <v>85</v>
    <v>158917300</v>
    <v>SCATC</v>
    <v>Scatec ASA (XOSL:SCATC)</v>
    <v>1414134</v>
    <v>419250</v>
    <v>2007</v>
  </rv>
  <rv s="2">
    <v>1088</v>
  </rv>
  <rv s="3">
    <fb>82.15</fb>
    <v>7</v>
  </rv>
  <rv s="3">
    <fb>75.650000000000006</fb>
    <v>7</v>
  </rv>
  <rv s="3">
    <fb>74.900000000000006</fb>
    <v>7</v>
  </rv>
  <rv s="3">
    <fb>74.599999999999994</fb>
    <v>7</v>
  </rv>
  <rv s="3">
    <fb>74.45</fb>
    <v>7</v>
  </rv>
  <rv s="3">
    <fb>73.75</fb>
    <v>7</v>
  </rv>
  <rv s="3">
    <fb>76.150000000000006</fb>
    <v>7</v>
  </rv>
  <rv s="3">
    <fb>75.2</fb>
    <v>7</v>
  </rv>
  <rv s="3">
    <fb>73.849999999999994</fb>
    <v>7</v>
  </rv>
  <rv s="3">
    <fb>68.2</fb>
    <v>7</v>
  </rv>
  <rv s="3">
    <fb>68.5</fb>
    <v>7</v>
  </rv>
  <rv s="3">
    <fb>66.75</fb>
    <v>7</v>
  </rv>
  <rv s="3">
    <fb>67.150000000000006</fb>
    <v>7</v>
  </rv>
  <rv s="3">
    <fb>70.45</fb>
    <v>7</v>
  </rv>
  <rv s="3">
    <fb>72.2</fb>
    <v>7</v>
  </rv>
  <rv s="3">
    <fb>77.8</fb>
    <v>7</v>
  </rv>
  <rv s="3">
    <fb>73.650000000000006</fb>
    <v>7</v>
  </rv>
  <rv s="3">
    <fb>75.599999999999994</fb>
    <v>7</v>
  </rv>
  <rv s="3">
    <fb>78.8</fb>
    <v>7</v>
  </rv>
  <rv s="3">
    <fb>73</fb>
    <v>7</v>
  </rv>
  <rv s="3">
    <fb>70</fb>
    <v>7</v>
  </rv>
  <rv s="3">
    <fb>70.900000000000006</fb>
    <v>7</v>
  </rv>
  <rv s="3">
    <fb>70.25</fb>
    <v>7</v>
  </rv>
  <rv s="3">
    <fb>71.55</fb>
    <v>7</v>
  </rv>
  <rv s="3">
    <fb>70.05</fb>
    <v>7</v>
  </rv>
  <rv s="3">
    <fb>70.5</fb>
    <v>7</v>
  </rv>
  <rv s="3">
    <fb>72.150000000000006</fb>
    <v>7</v>
  </rv>
  <rv s="3">
    <fb>72.45</fb>
    <v>7</v>
  </rv>
  <rv s="3">
    <fb>72.05</fb>
    <v>7</v>
  </rv>
  <rv s="3">
    <fb>69.8</fb>
    <v>7</v>
  </rv>
  <rv s="3">
    <fb>69.599999999999994</fb>
    <v>7</v>
  </rv>
  <rv s="3">
    <fb>66.95</fb>
    <v>7</v>
  </rv>
  <rv s="3">
    <fb>64.5</fb>
    <v>7</v>
  </rv>
  <rv s="3">
    <fb>64.849999999999994</fb>
    <v>7</v>
  </rv>
  <rv s="3">
    <fb>64.150000000000006</fb>
    <v>7</v>
  </rv>
  <rv s="3">
    <fb>65.650000000000006</fb>
    <v>7</v>
  </rv>
  <rv s="3">
    <fb>67.45</fb>
    <v>7</v>
  </rv>
  <rv s="3">
    <fb>67.7</fb>
    <v>7</v>
  </rv>
  <rv s="3">
    <fb>68</fb>
    <v>7</v>
  </rv>
  <rv s="3">
    <fb>66.5</fb>
    <v>7</v>
  </rv>
  <rv s="3">
    <fb>67.75</fb>
    <v>7</v>
  </rv>
  <rv s="3">
    <fb>64.650000000000006</fb>
    <v>7</v>
  </rv>
  <rv s="3">
    <fb>64.400000000000006</fb>
    <v>7</v>
  </rv>
  <rv s="3">
    <fb>64.25</fb>
    <v>7</v>
  </rv>
  <rv s="3">
    <fb>66.849999999999994</fb>
    <v>7</v>
  </rv>
  <rv s="3">
    <fb>68.849999999999994</fb>
    <v>7</v>
  </rv>
  <rv s="3">
    <fb>71</fb>
    <v>7</v>
  </rv>
  <rv s="3">
    <fb>72.099999999999994</fb>
    <v>7</v>
  </rv>
  <rv s="3">
    <fb>73.599999999999994</fb>
    <v>7</v>
  </rv>
  <rv s="3">
    <fb>68.650000000000006</fb>
    <v>7</v>
  </rv>
  <rv s="3">
    <fb>73.150000000000006</fb>
    <v>7</v>
  </rv>
  <rv s="3">
    <fb>73.349999999999994</fb>
    <v>7</v>
  </rv>
  <rv s="3">
    <fb>75.25</fb>
    <v>7</v>
  </rv>
  <rv s="3">
    <fb>78.45</fb>
    <v>7</v>
  </rv>
  <rv s="3">
    <fb>75.5</fb>
    <v>7</v>
  </rv>
  <rv s="3">
    <fb>76.05</fb>
    <v>7</v>
  </rv>
  <rv s="3">
    <fb>76.400000000000006</fb>
    <v>7</v>
  </rv>
  <rv s="3">
    <fb>71.3</fb>
    <v>7</v>
  </rv>
  <rv s="3">
    <fb>70.650000000000006</fb>
    <v>7</v>
  </rv>
  <rv s="3">
    <fb>69.7</fb>
    <v>7</v>
  </rv>
  <rv s="3">
    <fb>66.7</fb>
    <v>7</v>
  </rv>
  <rv s="3">
    <fb>67.3</fb>
    <v>7</v>
  </rv>
  <rv s="3">
    <fb>70.150000000000006</fb>
    <v>7</v>
  </rv>
  <rv s="3">
    <fb>70.8</fb>
    <v>7</v>
  </rv>
  <rv s="3">
    <fb>74.150000000000006</fb>
    <v>7</v>
  </rv>
  <rv s="3">
    <fb>81.55</fb>
    <v>7</v>
  </rv>
  <rv s="3">
    <fb>75.349999999999994</fb>
    <v>7</v>
  </rv>
  <rv s="3">
    <fb>76.2</fb>
    <v>7</v>
  </rv>
  <rv s="3">
    <fb>76.75</fb>
    <v>7</v>
  </rv>
  <rv s="3">
    <fb>77.2</fb>
    <v>7</v>
  </rv>
  <rv s="3">
    <fb>79.5</fb>
    <v>7</v>
  </rv>
  <rv s="3">
    <fb>79.25</fb>
    <v>7</v>
  </rv>
  <rv s="3">
    <fb>78.150000000000006</fb>
    <v>7</v>
  </rv>
  <rv s="3">
    <fb>76</fb>
    <v>7</v>
  </rv>
  <rv s="3">
    <fb>77.900000000000006</fb>
    <v>7</v>
  </rv>
  <rv s="3">
    <fb>78.099999999999994</fb>
    <v>7</v>
  </rv>
  <rv s="3">
    <fb>79.55</fb>
    <v>7</v>
  </rv>
  <rv s="3">
    <fb>86.5</fb>
    <v>7</v>
  </rv>
  <rv s="3">
    <fb>87.15</fb>
    <v>7</v>
  </rv>
  <rv s="3">
    <fb>86.4</fb>
    <v>7</v>
  </rv>
  <rv s="3">
    <fb>85</fb>
    <v>7</v>
  </rv>
  <rv s="3">
    <fb>86.75</fb>
    <v>7</v>
  </rv>
  <rv s="3">
    <fb>87</fb>
    <v>7</v>
  </rv>
  <rv s="3">
    <fb>85.05</fb>
    <v>7</v>
  </rv>
  <rv s="3">
    <fb>84</fb>
    <v>7</v>
  </rv>
  <rv s="3">
    <fb>83.4</fb>
    <v>7</v>
  </rv>
  <rv s="3">
    <fb>84.85</fb>
    <v>7</v>
  </rv>
  <rv s="3">
    <fb>84.9</fb>
    <v>7</v>
  </rv>
  <rv s="3">
    <fb>87.2</fb>
    <v>7</v>
  </rv>
  <rv s="3">
    <fb>88.8</fb>
    <v>7</v>
  </rv>
  <rv s="3">
    <fb>88.9</fb>
    <v>7</v>
  </rv>
  <rv s="3">
    <fb>90.85</fb>
    <v>7</v>
  </rv>
  <rv s="3">
    <fb>89.2</fb>
    <v>7</v>
  </rv>
  <rv s="3">
    <fb>88.25</fb>
    <v>7</v>
  </rv>
  <rv s="3">
    <fb>88.45</fb>
    <v>7</v>
  </rv>
  <rv s="3">
    <fb>88.4</fb>
    <v>7</v>
  </rv>
  <rv s="3">
    <fb>86.65</fb>
    <v>7</v>
  </rv>
  <rv s="3">
    <fb>85.9</fb>
    <v>7</v>
  </rv>
  <rv s="3">
    <fb>83.05</fb>
    <v>7</v>
  </rv>
  <rv s="3">
    <fb>82.95</fb>
    <v>7</v>
  </rv>
  <rv s="3">
    <fb>83.7</fb>
    <v>7</v>
  </rv>
  <rv s="3">
    <fb>83</fb>
    <v>7</v>
  </rv>
  <rv s="3">
    <fb>84.6</fb>
    <v>7</v>
  </rv>
  <rv s="3">
    <fb>86.45</fb>
    <v>7</v>
  </rv>
  <rv s="3">
    <fb>87.75</fb>
    <v>7</v>
  </rv>
  <rv s="3">
    <fb>86.7</fb>
    <v>7</v>
  </rv>
  <rv s="3">
    <fb>86.05</fb>
    <v>7</v>
  </rv>
  <rv s="3">
    <fb>87.45</fb>
    <v>7</v>
  </rv>
  <rv s="3">
    <fb>89.05</fb>
    <v>7</v>
  </rv>
  <rv s="3">
    <fb>89.15</fb>
    <v>7</v>
  </rv>
  <rv s="3">
    <fb>88.1</fb>
    <v>7</v>
  </rv>
  <rv s="3">
    <fb>90</fb>
    <v>7</v>
  </rv>
  <rv s="3">
    <fb>86.85</fb>
    <v>7</v>
  </rv>
  <rv s="3">
    <fb>81.25</fb>
    <v>7</v>
  </rv>
  <rv s="3">
    <fb>87.5</fb>
    <v>7</v>
  </rv>
  <rv s="3">
    <fb>88.55</fb>
    <v>7</v>
  </rv>
  <rv s="3">
    <fb>85.2</fb>
    <v>7</v>
  </rv>
  <rv s="3">
    <fb>87.95</fb>
    <v>7</v>
  </rv>
  <rv s="3">
    <fb>88</fb>
    <v>7</v>
  </rv>
  <rv s="0">
    <v>https://www.bing.com/financeapi/forcetrigger?t=alt9yc&amp;q=XOSL%3aSALM&amp;form=skydnc</v>
    <v>Learn more on Bing</v>
  </rv>
  <rv s="1">
    <v>en-GB</v>
    <v>alt9yc</v>
    <v>268435456</v>
    <v>1</v>
    <v>Powered by Refinitiv</v>
    <v>0</v>
    <v>SalMar ASA (XOSL:SALM)</v>
    <v>2</v>
    <v>3</v>
    <v>Finance</v>
    <v>4</v>
    <v>717.6</v>
    <v>466</v>
    <v>0.86229999999999996</v>
    <v>-3.5</v>
    <v>-5.4859999999999996E-3</v>
    <v>NOK</v>
    <v>SalMar ASA is a Norway-based fish farm company and the producer of salmon. The group has farming operations in Central Norway, Northern Norway and Iceland, as well as substantial harvesting and secondary processing operations in Norway, at InnovaMar in Froya, InnovaNor in Senja and Vikenco in Aukra. In addition, the Company is operating within offshore aquaculture through the subsidiary SalMar Aker Ocean. SalMar’s Operating Segments consist of Fish Farming Central Norway, Fish Farming Northern Norway, Sales &amp; Industry and Icelandic Salmon. The Company's main activities include marine-phase farming, broodfish and smolt production, processing and sale of farmed salmon. SalMar sells farmed salmon worldwide.</v>
    <v>2674</v>
    <v>Oslo Bors Asa</v>
    <v>XOSL</v>
    <v>XOSL</v>
    <v>Industriveien 51, Kverva, SOR-TRONDELAG, 7266 NO</v>
    <v>642.5</v>
    <v>Food &amp; Tobacco</v>
    <v>Stock</v>
    <v>45520.666666666664</v>
    <v>1209</v>
    <v>632</v>
    <v>84240830000</v>
    <v>SalMar ASA</v>
    <v>SalMar ASA</v>
    <v>639</v>
    <v>47.58</v>
    <v>638</v>
    <v>634.5</v>
    <v>132038900</v>
    <v>SALM</v>
    <v>SalMar ASA (XOSL:SALM)</v>
    <v>130378</v>
    <v>127270</v>
    <v>1995</v>
  </rv>
  <rv s="2">
    <v>1210</v>
  </rv>
  <rv s="3">
    <fb>569.20000000000005</fb>
    <v>7</v>
  </rv>
  <rv s="3">
    <fb>564.4</fb>
    <v>7</v>
  </rv>
  <rv s="3">
    <fb>575</fb>
    <v>7</v>
  </rv>
  <rv s="3">
    <fb>588.6</fb>
    <v>7</v>
  </rv>
  <rv s="3">
    <fb>591</fb>
    <v>7</v>
  </rv>
  <rv s="3">
    <fb>596.4</fb>
    <v>7</v>
  </rv>
  <rv s="3">
    <fb>594.20000000000005</fb>
    <v>7</v>
  </rv>
  <rv s="3">
    <fb>584.79999999999995</fb>
    <v>7</v>
  </rv>
  <rv s="3">
    <fb>577</fb>
    <v>7</v>
  </rv>
  <rv s="3">
    <fb>583</fb>
    <v>7</v>
  </rv>
  <rv s="3">
    <fb>585.6</fb>
    <v>7</v>
  </rv>
  <rv s="3">
    <fb>586.6</fb>
    <v>7</v>
  </rv>
  <rv s="3">
    <fb>583.4</fb>
    <v>7</v>
  </rv>
  <rv s="3">
    <fb>594</fb>
    <v>7</v>
  </rv>
  <rv s="3">
    <fb>606.79999999999995</fb>
    <v>7</v>
  </rv>
  <rv s="3">
    <fb>608.20000000000005</fb>
    <v>7</v>
  </rv>
  <rv s="3">
    <fb>596.20000000000005</fb>
    <v>7</v>
  </rv>
  <rv s="3">
    <fb>580</fb>
    <v>7</v>
  </rv>
  <rv s="3">
    <fb>575.4</fb>
    <v>7</v>
  </rv>
  <rv s="3">
    <fb>582.6</fb>
    <v>7</v>
  </rv>
  <rv s="3">
    <fb>585</fb>
    <v>7</v>
  </rv>
  <rv s="3">
    <fb>581.4</fb>
    <v>7</v>
  </rv>
  <rv s="3">
    <fb>591.6</fb>
    <v>7</v>
  </rv>
  <rv s="3">
    <fb>598.20000000000005</fb>
    <v>7</v>
  </rv>
  <rv s="3">
    <fb>606.6</fb>
    <v>7</v>
  </rv>
  <rv s="3">
    <fb>602.4</fb>
    <v>7</v>
  </rv>
  <rv s="3">
    <fb>584</fb>
    <v>7</v>
  </rv>
  <rv s="3">
    <fb>580.4</fb>
    <v>7</v>
  </rv>
  <rv s="3">
    <fb>580.79999999999995</fb>
    <v>7</v>
  </rv>
  <rv s="3">
    <fb>590.20000000000005</fb>
    <v>7</v>
  </rv>
  <rv s="3">
    <fb>610</fb>
    <v>7</v>
  </rv>
  <rv s="3">
    <fb>632.4</fb>
    <v>7</v>
  </rv>
  <rv s="3">
    <fb>628.6</fb>
    <v>7</v>
  </rv>
  <rv s="3">
    <fb>637.20000000000005</fb>
    <v>7</v>
  </rv>
  <rv s="3">
    <fb>643.79999999999995</fb>
    <v>7</v>
  </rv>
  <rv s="3">
    <fb>643</fb>
    <v>7</v>
  </rv>
  <rv s="3">
    <fb>649.20000000000005</fb>
    <v>7</v>
  </rv>
  <rv s="3">
    <fb>646.6</fb>
    <v>7</v>
  </rv>
  <rv s="3">
    <fb>656.2</fb>
    <v>7</v>
  </rv>
  <rv s="3">
    <fb>673.4</fb>
    <v>7</v>
  </rv>
  <rv s="3">
    <fb>680.2</fb>
    <v>7</v>
  </rv>
  <rv s="3">
    <fb>694.2</fb>
    <v>7</v>
  </rv>
  <rv s="3">
    <fb>693.8</fb>
    <v>7</v>
  </rv>
  <rv s="3">
    <fb>693.4</fb>
    <v>7</v>
  </rv>
  <rv s="3">
    <fb>697.6</fb>
    <v>7</v>
  </rv>
  <rv s="3">
    <fb>696.6</fb>
    <v>7</v>
  </rv>
  <rv s="3">
    <fb>700</fb>
    <v>7</v>
  </rv>
  <rv s="3">
    <fb>697</fb>
    <v>7</v>
  </rv>
  <rv s="3">
    <fb>702.8</fb>
    <v>7</v>
  </rv>
  <rv s="3">
    <fb>712.2</fb>
    <v>7</v>
  </rv>
  <rv s="3">
    <fb>713.4</fb>
    <v>7</v>
  </rv>
  <rv s="3">
    <fb>714</fb>
    <v>7</v>
  </rv>
  <rv s="3">
    <fb>707.2</fb>
    <v>7</v>
  </rv>
  <rv s="3">
    <fb>710</fb>
    <v>7</v>
  </rv>
  <rv s="3">
    <fb>715.4</fb>
    <v>7</v>
  </rv>
  <rv s="3">
    <fb>682.5</fb>
    <v>7</v>
  </rv>
  <rv s="3">
    <fb>671.5</fb>
    <v>7</v>
  </rv>
  <rv s="3">
    <fb>679</fb>
    <v>7</v>
  </rv>
  <rv s="3">
    <fb>678.5</fb>
    <v>7</v>
  </rv>
  <rv s="3">
    <fb>682</fb>
    <v>7</v>
  </rv>
  <rv s="3">
    <fb>687.5</fb>
    <v>7</v>
  </rv>
  <rv s="3">
    <fb>678</fb>
    <v>7</v>
  </rv>
  <rv s="3">
    <fb>680.5</fb>
    <v>7</v>
  </rv>
  <rv s="3">
    <fb>667</fb>
    <v>7</v>
  </rv>
  <rv s="3">
    <fb>658.5</fb>
    <v>7</v>
  </rv>
  <rv s="3">
    <fb>652.5</fb>
    <v>7</v>
  </rv>
  <rv s="3">
    <fb>655.5</fb>
    <v>7</v>
  </rv>
  <rv s="3">
    <fb>668.5</fb>
    <v>7</v>
  </rv>
  <rv s="3">
    <fb>687</fb>
    <v>7</v>
  </rv>
  <rv s="3">
    <fb>690</fb>
    <v>7</v>
  </rv>
  <rv s="3">
    <fb>694</fb>
    <v>7</v>
  </rv>
  <rv s="3">
    <fb>701.5</fb>
    <v>7</v>
  </rv>
  <rv s="3">
    <fb>665</fb>
    <v>7</v>
  </rv>
  <rv s="3">
    <fb>661.5</fb>
    <v>7</v>
  </rv>
  <rv s="3">
    <fb>668</fb>
    <v>7</v>
  </rv>
  <rv s="3">
    <fb>656</fb>
    <v>7</v>
  </rv>
  <rv s="3">
    <fb>667.5</fb>
    <v>7</v>
  </rv>
  <rv s="3">
    <fb>633</fb>
    <v>7</v>
  </rv>
  <rv s="3">
    <fb>638.5</fb>
    <v>7</v>
  </rv>
  <rv s="3">
    <fb>640.5</fb>
    <v>7</v>
  </rv>
  <rv s="3">
    <fb>625</fb>
    <v>7</v>
  </rv>
  <rv s="3">
    <fb>619.5</fb>
    <v>7</v>
  </rv>
  <rv s="3">
    <fb>626.5</fb>
    <v>7</v>
  </rv>
  <rv s="3">
    <fb>601</fb>
    <v>7</v>
  </rv>
  <rv s="3">
    <fb>593</fb>
    <v>7</v>
  </rv>
  <rv s="3">
    <fb>589</fb>
    <v>7</v>
  </rv>
  <rv s="3">
    <fb>595.5</fb>
    <v>7</v>
  </rv>
  <rv s="3">
    <fb>605</fb>
    <v>7</v>
  </rv>
  <rv s="3">
    <fb>606</fb>
    <v>7</v>
  </rv>
  <rv s="3">
    <fb>607</fb>
    <v>7</v>
  </rv>
  <rv s="3">
    <fb>604</fb>
    <v>7</v>
  </rv>
  <rv s="3">
    <fb>602.5</fb>
    <v>7</v>
  </rv>
  <rv s="3">
    <fb>594.5</fb>
    <v>7</v>
  </rv>
  <rv s="3">
    <fb>561</fb>
    <v>7</v>
  </rv>
  <rv s="3">
    <fb>562</fb>
    <v>7</v>
  </rv>
  <rv s="3">
    <fb>554</fb>
    <v>7</v>
  </rv>
  <rv s="3">
    <fb>559</fb>
    <v>7</v>
  </rv>
  <rv s="3">
    <fb>554.5</fb>
    <v>7</v>
  </rv>
  <rv s="3">
    <fb>552.5</fb>
    <v>7</v>
  </rv>
  <rv s="3">
    <fb>558</fb>
    <v>7</v>
  </rv>
  <rv s="3">
    <fb>571.5</fb>
    <v>7</v>
  </rv>
  <rv s="3">
    <fb>570.5</fb>
    <v>7</v>
  </rv>
  <rv s="3">
    <fb>567</fb>
    <v>7</v>
  </rv>
  <rv s="3">
    <fb>557.5</fb>
    <v>7</v>
  </rv>
  <rv s="3">
    <fb>564</fb>
    <v>7</v>
  </rv>
  <rv s="3">
    <fb>563.5</fb>
    <v>7</v>
  </rv>
  <rv s="3">
    <fb>563</fb>
    <v>7</v>
  </rv>
  <rv s="3">
    <fb>570</fb>
    <v>7</v>
  </rv>
  <rv s="3">
    <fb>581.5</fb>
    <v>7</v>
  </rv>
  <rv s="3">
    <fb>584.5</fb>
    <v>7</v>
  </rv>
  <rv s="3">
    <fb>586.5</fb>
    <v>7</v>
  </rv>
  <rv s="3">
    <fb>591.5</fb>
    <v>7</v>
  </rv>
  <rv s="3">
    <fb>615</fb>
    <v>7</v>
  </rv>
  <rv s="3">
    <fb>628</fb>
    <v>7</v>
  </rv>
  <rv s="3">
    <fb>623.5</fb>
    <v>7</v>
  </rv>
  <rv s="3">
    <fb>577.5</fb>
    <v>7</v>
  </rv>
  <rv s="3">
    <fb>595</fb>
    <v>7</v>
  </rv>
  <rv s="3">
    <fb>612</fb>
    <v>7</v>
  </rv>
  <rv s="3">
    <fb>620</fb>
    <v>7</v>
  </rv>
  <rv s="3">
    <fb>641</fb>
    <v>7</v>
  </rv>
  <rv s="3">
    <fb>638</fb>
    <v>7</v>
  </rv>
  <rv s="3">
    <fb>634.5</fb>
    <v>7</v>
  </rv>
  <rv s="0">
    <v>https://www.bing.com/financeapi/forcetrigger?t=bspyqh&amp;q=XOSL%3aHAFNI&amp;form=skydnc</v>
    <v>Learn more on Bing</v>
  </rv>
  <rv s="1">
    <v>en-GB</v>
    <v>bspyqh</v>
    <v>268435456</v>
    <v>1</v>
    <v>Powered by Refinitiv</v>
    <v>0</v>
    <v>Hafnia Limited (XOSL:HAFNI)</v>
    <v>2</v>
    <v>3</v>
    <v>Finance</v>
    <v>4</v>
    <v>93.8</v>
    <v>57.65</v>
    <v>0.81579999999999997</v>
    <v>0.75</v>
    <v>9.1129999999999996E-3</v>
    <v>NOK</v>
    <v>Hafnia Limited is a tanker company. The Company is an operator of products and chemical tankers. The Company offers a fully integrated shipping platform, including technical management, commercial and chartering services, pool management, and a large-scale bunker desk. Its segments include Long Range II (LR2), Long Range I (LR1), Medium Range (MR), and Handy size (Handy), and Specialized. The LR2 segment consists of vessels between 85,000 deadweight tons (DWT) and 124,999 DWT in size and provides transportation of clean petroleum oil products. The LR1 segment consists of vessels between 55,000 DWT and 84,999 DWT in size and provides transportation of clean and dirty petroleum products. The MR segment consists of vessels between 40,000 DWT and 54,999 DWT in size and provides transportation of clean and dirty oil products, vegetable oil and easy chemicals. The Specialized segment consists of vessels between 5,000 DWT and 19,999 DWT in size.</v>
    <v>5040</v>
    <v>Oslo Bors Asa</v>
    <v>XOSL</v>
    <v>XOSL</v>
    <v>MAPLETREE BUSINESS CITY #18-01, 10 PASIR PANJANG ROAD, 117438, 117438 SG</v>
    <v>84.55</v>
    <v>Oil &amp; Gas Related Equipment and Services</v>
    <v>Stock</v>
    <v>45520.666666666664</v>
    <v>1334</v>
    <v>82.2</v>
    <v>42304880000</v>
    <v>Hafnia Limited</v>
    <v>Hafnia Limited</v>
    <v>83.6</v>
    <v>5.1580000000000004</v>
    <v>82.3</v>
    <v>83.05</v>
    <v>512563500</v>
    <v>HAFNI</v>
    <v>Hafnia Limited (XOSL:HAFNI)</v>
    <v>813710</v>
    <v>669460</v>
    <v>2014</v>
  </rv>
  <rv s="2">
    <v>1335</v>
  </rv>
  <rv s="3">
    <fb>70.2</fb>
    <v>7</v>
  </rv>
  <rv s="3">
    <fb>71.849999999999994</fb>
    <v>7</v>
  </rv>
  <rv s="3">
    <fb>71.900000000000006</fb>
    <v>7</v>
  </rv>
  <rv s="3">
    <fb>70.3</fb>
    <v>7</v>
  </rv>
  <rv s="3">
    <fb>71.2</fb>
    <v>7</v>
  </rv>
  <rv s="3">
    <fb>68.3</fb>
    <v>7</v>
  </rv>
  <rv s="3">
    <fb>71.150000000000006</fb>
    <v>7</v>
  </rv>
  <rv s="3">
    <fb>71.05</fb>
    <v>7</v>
  </rv>
  <rv s="3">
    <fb>72.75</fb>
    <v>7</v>
  </rv>
  <rv s="3">
    <fb>74.349999999999994</fb>
    <v>7</v>
  </rv>
  <rv s="3">
    <fb>76.349999999999994</fb>
    <v>7</v>
  </rv>
  <rv s="3">
    <fb>76.599999999999994</fb>
    <v>7</v>
  </rv>
  <rv s="3">
    <fb>78.55</fb>
    <v>7</v>
  </rv>
  <rv s="3">
    <fb>78.25</fb>
    <v>7</v>
  </rv>
  <rv s="3">
    <fb>77.849999999999994</fb>
    <v>7</v>
  </rv>
  <rv s="3">
    <fb>77.349999999999994</fb>
    <v>7</v>
  </rv>
  <rv s="3">
    <fb>75.95</fb>
    <v>7</v>
  </rv>
  <rv s="3">
    <fb>73.7</fb>
    <v>7</v>
  </rv>
  <rv s="3">
    <fb>76.3</fb>
    <v>7</v>
  </rv>
  <rv s="3">
    <fb>76.849999999999994</fb>
    <v>7</v>
  </rv>
  <rv s="3">
    <fb>77.55</fb>
    <v>7</v>
  </rv>
  <rv s="3">
    <fb>75.75</fb>
    <v>7</v>
  </rv>
  <rv s="3">
    <fb>75.099999999999994</fb>
    <v>7</v>
  </rv>
  <rv s="3">
    <fb>77.75</fb>
    <v>7</v>
  </rv>
  <rv s="3">
    <fb>78.05</fb>
    <v>7</v>
  </rv>
  <rv s="3">
    <fb>77.099999999999994</fb>
    <v>7</v>
  </rv>
  <rv s="3">
    <fb>75.05</fb>
    <v>7</v>
  </rv>
  <rv s="3">
    <fb>75.400000000000006</fb>
    <v>7</v>
  </rv>
  <rv s="3">
    <fb>76.650000000000006</fb>
    <v>7</v>
  </rv>
  <rv s="3">
    <fb>75.55</fb>
    <v>7</v>
  </rv>
  <rv s="3">
    <fb>71.650000000000006</fb>
    <v>7</v>
  </rv>
  <rv s="3">
    <fb>76.55</fb>
    <v>7</v>
  </rv>
  <rv s="3">
    <fb>77.599999999999994</fb>
    <v>7</v>
  </rv>
  <rv s="3">
    <fb>77.05</fb>
    <v>7</v>
  </rv>
  <rv s="3">
    <fb>74</fb>
    <v>7</v>
  </rv>
  <rv s="3">
    <fb>74.650000000000006</fb>
    <v>7</v>
  </rv>
  <rv s="3">
    <fb>74.55</fb>
    <v>7</v>
  </rv>
  <rv s="4">
    <fb t="e">#N/A</fb>
    <v>6</v>
    <v>4</v>
  </rv>
  <rv s="3">
    <fb>78.7</fb>
    <v>7</v>
  </rv>
  <rv s="3">
    <fb>78.900000000000006</fb>
    <v>7</v>
  </rv>
  <rv s="3">
    <fb>80.75</fb>
    <v>7</v>
  </rv>
  <rv s="3">
    <fb>81.349999999999994</fb>
    <v>7</v>
  </rv>
  <rv s="3">
    <fb>81.099999999999994</fb>
    <v>7</v>
  </rv>
  <rv s="3">
    <fb>83.2</fb>
    <v>7</v>
  </rv>
  <rv s="3">
    <fb>80.849999999999994</fb>
    <v>7</v>
  </rv>
  <rv s="3">
    <fb>81.150000000000006</fb>
    <v>7</v>
  </rv>
  <rv s="3">
    <fb>81.599999999999994</fb>
    <v>7</v>
  </rv>
  <rv s="3">
    <fb>82.4</fb>
    <v>7</v>
  </rv>
  <rv s="3">
    <fb>81.95</fb>
    <v>7</v>
  </rv>
  <rv s="3">
    <fb>83.85</fb>
    <v>7</v>
  </rv>
  <rv s="3">
    <fb>84.4</fb>
    <v>7</v>
  </rv>
  <rv s="3">
    <fb>85.7</fb>
    <v>7</v>
  </rv>
  <rv s="3">
    <fb>84.75</fb>
    <v>7</v>
  </rv>
  <rv s="3">
    <fb>86.9</fb>
    <v>7</v>
  </rv>
  <rv s="3">
    <fb>88.35</fb>
    <v>7</v>
  </rv>
  <rv s="3">
    <fb>89.75</fb>
    <v>7</v>
  </rv>
  <rv s="3">
    <fb>90.45</fb>
    <v>7</v>
  </rv>
  <rv s="3">
    <fb>89.6</fb>
    <v>7</v>
  </rv>
  <rv s="3">
    <fb>90.65</fb>
    <v>7</v>
  </rv>
  <rv s="3">
    <fb>89.55</fb>
    <v>7</v>
  </rv>
  <rv s="3">
    <fb>91.05</fb>
    <v>7</v>
  </rv>
  <rv s="3">
    <fb>91.95</fb>
    <v>7</v>
  </rv>
  <rv s="3">
    <fb>91.25</fb>
    <v>7</v>
  </rv>
  <rv s="3">
    <fb>89.95</fb>
    <v>7</v>
  </rv>
  <rv s="3">
    <fb>88.2</fb>
    <v>7</v>
  </rv>
  <rv s="3">
    <fb>87.55</fb>
    <v>7</v>
  </rv>
  <rv s="3">
    <fb>88.3</fb>
    <v>7</v>
  </rv>
  <rv s="3">
    <fb>83.9</fb>
    <v>7</v>
  </rv>
  <rv s="3">
    <fb>83.25</fb>
    <v>7</v>
  </rv>
  <rv s="3">
    <fb>79.650000000000006</fb>
    <v>7</v>
  </rv>
  <rv s="3">
    <fb>81.900000000000006</fb>
    <v>7</v>
  </rv>
  <rv s="3">
    <fb>83.15</fb>
    <v>7</v>
  </rv>
  <rv s="3">
    <fb>89.7</fb>
    <v>7</v>
  </rv>
  <rv s="3">
    <fb>85.45</fb>
    <v>7</v>
  </rv>
  <rv s="3">
    <fb>84.3</fb>
    <v>7</v>
  </rv>
  <rv s="3">
    <fb>83.35</fb>
    <v>7</v>
  </rv>
  <rv s="3">
    <fb>83.8</fb>
    <v>7</v>
  </rv>
  <rv s="3">
    <fb>83.55</fb>
    <v>7</v>
  </rv>
  <rv s="3">
    <fb>86.25</fb>
    <v>7</v>
  </rv>
  <rv s="3">
    <fb>86</fb>
    <v>7</v>
  </rv>
  <rv s="3">
    <fb>85.65</fb>
    <v>7</v>
  </rv>
  <rv s="3">
    <fb>81.3</fb>
    <v>7</v>
  </rv>
  <rv s="3">
    <fb>79.45</fb>
    <v>7</v>
  </rv>
  <rv s="3">
    <fb>80.8</fb>
    <v>7</v>
  </rv>
  <rv s="3">
    <fb>81.45</fb>
    <v>7</v>
  </rv>
  <rv s="3">
    <fb>82.3</fb>
    <v>7</v>
  </rv>
  <rv s="5">
    <v>8</v>
    <v>alt5vh</v>
    <v>Daily</v>
    <v>45289</v>
    <v>45523</v>
    <v>0</v>
    <v>1</v>
    <v>638593632000000000,638596449863170269,0</v>
    <v>0</v>
    <v>alt5vh</v>
    <v/>
    <v>1</v>
  </rv>
  <rv s="6">
    <v>9</v>
    <v>alt5vh</v>
    <v>Daily</v>
    <v>45290</v>
    <v>45523</v>
    <v>0</v>
    <v>1</v>
    <v>638593632000000000,638596449863180223,0</v>
    <v>2</v>
    <v>alt5vh</v>
    <v/>
    <v>3</v>
  </rv>
  <rv s="6">
    <v>9</v>
    <v>bspyqh</v>
    <v>Daily</v>
    <v>45289</v>
    <v>45523</v>
    <v>0</v>
    <v>1</v>
    <v>638593632000000000,638596449863190178,0</v>
    <v>0</v>
    <v>bspyqh</v>
    <v/>
    <v>4</v>
  </rv>
  <rv s="6">
    <v>9</v>
    <v>b115w7</v>
    <v>Daily</v>
    <v>45289</v>
    <v>45523</v>
    <v>0</v>
    <v>1</v>
    <v>638593632000000000,638596449863220049,0</v>
    <v>0</v>
    <v>b115w7</v>
    <v/>
    <v>5</v>
  </rv>
  <rv s="6">
    <v>9</v>
    <v>altdpr</v>
    <v>Daily</v>
    <v>45289</v>
    <v>45523</v>
    <v>0</v>
    <v>1</v>
    <v>638593632000000000,638596449863180385,0</v>
    <v>0</v>
    <v>altdpr</v>
    <v/>
    <v>6</v>
  </rv>
  <rv s="6">
    <v>9</v>
    <v>alsylh</v>
    <v>Daily</v>
    <v>45289</v>
    <v>45523</v>
    <v>0</v>
    <v>1</v>
    <v>638593632000000000,638596449863210093,0</v>
    <v>0</v>
    <v>alsylh</v>
    <v/>
    <v>7</v>
  </rv>
  <rv s="6">
    <v>9</v>
    <v>alsyu2</v>
    <v>Daily</v>
    <v>45289</v>
    <v>45523</v>
    <v>0</v>
    <v>1</v>
    <v>638593632000000000,638596449864002604,0</v>
    <v>0</v>
    <v>alsyu2</v>
    <v/>
    <v>8</v>
  </rv>
  <rv s="6">
    <v>9</v>
    <v>alte7w</v>
    <v>Daily</v>
    <v>45289</v>
    <v>45523</v>
    <v>0</v>
    <v>1</v>
    <v>638593632000000000,638596449863178793,0</v>
    <v>0</v>
    <v>alte7w</v>
    <v/>
    <v>9</v>
  </rv>
  <rv s="6">
    <v>9</v>
    <v>altejc</v>
    <v>Daily</v>
    <v>45289</v>
    <v>45523</v>
    <v>0</v>
    <v>1</v>
    <v>638593632000000000,638596449863176584,0</v>
    <v>0</v>
    <v>altejc</v>
    <v/>
    <v>10</v>
  </rv>
  <rv s="6">
    <v>9</v>
    <v>alt9yc</v>
    <v>Daily</v>
    <v>45289</v>
    <v>45523</v>
    <v>0</v>
    <v>1</v>
    <v>638593632000000000,638596449863169012,0</v>
    <v>0</v>
    <v>alt9yc</v>
    <v/>
    <v>11</v>
  </rv>
  <rv s="6">
    <v>9</v>
    <v>alt3zr</v>
    <v>Daily</v>
    <v>45289</v>
    <v>45523</v>
    <v>0</v>
    <v>1</v>
    <v>638593632000000000,638596449863180367,0</v>
    <v>0</v>
    <v>alt3zr</v>
    <v/>
    <v>12</v>
  </rv>
</rvData>
</file>

<file path=xl/richData/rdrichvaluestructure.xml><?xml version="1.0" encoding="utf-8"?>
<rvStructures xmlns="http://schemas.microsoft.com/office/spreadsheetml/2017/richdata" count="7">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formattednumber">
    <k n="_Format" t="spb"/>
  </s>
  <s t="_error">
    <k n="errorType" t="i"/>
    <k n="subType" t="i"/>
  </s>
  <s t="_stockhistorycache">
    <k n="_Format" t="spb"/>
    <k n="Symbol" t="s"/>
    <k n="Interval" t="s"/>
    <k n="StartDate" t="i"/>
    <k n="EndDate" t="i"/>
    <k n="f1904" t="b"/>
    <k n="fdcompat" t="b"/>
    <k n="etag" t="s"/>
    <k n="Date" t="a"/>
    <k n="EntityId" t="s"/>
    <k n="Instrument" t="s"/>
    <k n="Volume" t="a"/>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10">
    <spb s="0">
      <v>0</v>
      <v>Name</v>
      <v>LearnMoreOnLink</v>
    </spb>
    <spb s="1">
      <v>0</v>
      <v>0</v>
      <v>0</v>
    </spb>
    <spb s="2">
      <v>1</v>
      <v>1</v>
      <v>1</v>
      <v>1</v>
    </spb>
    <spb s="3">
      <v>1</v>
      <v>2</v>
      <v>2</v>
      <v>1</v>
      <v>3</v>
      <v>1</v>
      <v>1</v>
      <v>1</v>
      <v>4</v>
      <v>4</v>
      <v>5</v>
      <v>6</v>
      <v>1</v>
      <v>1</v>
      <v>1</v>
      <v>4</v>
      <v>7</v>
      <v>8</v>
      <v>9</v>
      <v>4</v>
    </spb>
    <spb s="4">
      <v>Delayed 15 minutes</v>
      <v>from previous close</v>
      <v>from previous close</v>
      <v>GMT</v>
    </spb>
    <spb s="5">
      <v>10</v>
    </spb>
    <spb s="5">
      <v>4</v>
    </spb>
    <spb s="5">
      <v>1</v>
    </spb>
    <spb s="6">
      <v>10</v>
      <v>4</v>
    </spb>
    <spb s="7">
      <v>10</v>
      <v>1</v>
    </spb>
  </spbData>
</supportingPropertyBags>
</file>

<file path=xl/richData/rdsupportingpropertybagstructure.xml><?xml version="1.0" encoding="utf-8"?>
<spbStructures xmlns="http://schemas.microsoft.com/office/spreadsheetml/2017/richdata2" count="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_Self" t="i"/>
  </s>
  <s>
    <k n="Date" t="i"/>
    <k n="Volume"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
    </x:dxf>
    <x:dxf>
      <x:numFmt numFmtId="3" formatCode="#,##0"/>
    </x:dxf>
    <x:dxf>
      <x:numFmt numFmtId="4" formatCode="#,##0.00"/>
    </x:dxf>
    <x:dxf>
      <x:numFmt numFmtId="1" formatCode="0"/>
    </x:dxf>
    <x:dxf>
      <x:numFmt numFmtId="19" formatCode="dd/mm/yyyy"/>
    </x:dxf>
  </dxfs>
  <richProperties>
    <rPr n="NumberFormat" t="s"/>
    <rPr n="IsTitleField" t="b"/>
  </richProperties>
  <richStyles>
    <rSty dxfid="1">
      <rpv i="0">_-[$kr-nb-SJ] * #,##0.00_-;-[$kr-nb-SJ] * #,##0.00_-;_-[$kr-nb-SJ] * "-"??_-;_-@_-</rpv>
    </rSty>
    <rSty dxfid="5">
      <rpv i="0">#,##0.00</rpv>
    </rSty>
    <rSty>
      <rpv i="1">1</rpv>
    </rSty>
    <rSty dxfid="4">
      <rpv i="0">#,##0</rpv>
    </rSty>
    <rSty dxfid="3"/>
    <rSty dxfid="1">
      <rpv i="0">_-[$kr-nb-SJ] * #,##0_-;-[$kr-nb-SJ] * #,##0_-;_-[$kr-nb-SJ] * "-"_-;_-@_-</rpv>
    </rSty>
    <rSty dxfid="2"/>
    <rSty dxfid="6">
      <rpv i="0">0</rpv>
    </rSty>
    <rSty dxfid="0">
      <rpv i="0">0.00</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A104D-17EC-4D57-9918-8785359C5745}">
  <sheetPr codeName="Sheet1">
    <tabColor rgb="FF002060"/>
  </sheetPr>
  <dimension ref="A1:C11"/>
  <sheetViews>
    <sheetView showGridLines="0" tabSelected="1" zoomScale="235" zoomScaleNormal="235" workbookViewId="0">
      <selection activeCell="J6" sqref="J6"/>
    </sheetView>
  </sheetViews>
  <sheetFormatPr defaultRowHeight="15" x14ac:dyDescent="0.25"/>
  <cols>
    <col min="1" max="1" width="18.5703125" bestFit="1" customWidth="1"/>
    <col min="2" max="2" width="6.85546875" bestFit="1" customWidth="1"/>
    <col min="3" max="3" width="7.42578125" bestFit="1" customWidth="1"/>
  </cols>
  <sheetData>
    <row r="1" spans="1:3" x14ac:dyDescent="0.25">
      <c r="A1" s="2" t="s">
        <v>0</v>
      </c>
      <c r="B1" s="2" t="s">
        <v>2</v>
      </c>
      <c r="C1" s="2" t="s">
        <v>1</v>
      </c>
    </row>
    <row r="2" spans="1:3" x14ac:dyDescent="0.25">
      <c r="A2" t="str">
        <f>"Norsk Hydro"</f>
        <v>Norsk Hydro</v>
      </c>
      <c r="B2" t="s">
        <v>9</v>
      </c>
      <c r="C2" s="1">
        <v>0.1</v>
      </c>
    </row>
    <row r="3" spans="1:3" x14ac:dyDescent="0.25">
      <c r="A3" t="s">
        <v>10</v>
      </c>
      <c r="B3" t="s">
        <v>11</v>
      </c>
      <c r="C3" s="1">
        <v>0.1</v>
      </c>
    </row>
    <row r="4" spans="1:3" x14ac:dyDescent="0.25">
      <c r="A4" t="s">
        <v>3</v>
      </c>
      <c r="B4" t="s">
        <v>12</v>
      </c>
      <c r="C4" s="1">
        <v>0.1</v>
      </c>
    </row>
    <row r="5" spans="1:3" x14ac:dyDescent="0.25">
      <c r="A5" t="s">
        <v>4</v>
      </c>
      <c r="B5" t="s">
        <v>4</v>
      </c>
      <c r="C5" s="1">
        <v>0.1</v>
      </c>
    </row>
    <row r="6" spans="1:3" x14ac:dyDescent="0.25">
      <c r="A6" t="s">
        <v>5</v>
      </c>
      <c r="B6" t="s">
        <v>14</v>
      </c>
      <c r="C6" s="1">
        <v>0.1</v>
      </c>
    </row>
    <row r="7" spans="1:3" x14ac:dyDescent="0.25">
      <c r="A7" t="s">
        <v>15</v>
      </c>
      <c r="B7" t="s">
        <v>15</v>
      </c>
      <c r="C7" s="1">
        <v>0.01</v>
      </c>
    </row>
    <row r="8" spans="1:3" x14ac:dyDescent="0.25">
      <c r="A8" t="s">
        <v>6</v>
      </c>
      <c r="B8" t="s">
        <v>16</v>
      </c>
      <c r="C8" s="1">
        <v>0.1</v>
      </c>
    </row>
    <row r="9" spans="1:3" x14ac:dyDescent="0.25">
      <c r="A9" t="s">
        <v>7</v>
      </c>
      <c r="B9" t="s">
        <v>13</v>
      </c>
      <c r="C9" s="1">
        <v>0.1</v>
      </c>
    </row>
    <row r="10" spans="1:3" x14ac:dyDescent="0.25">
      <c r="A10" t="s">
        <v>8</v>
      </c>
      <c r="B10" t="s">
        <v>17</v>
      </c>
      <c r="C10" s="1">
        <v>0.1</v>
      </c>
    </row>
    <row r="11" spans="1:3" x14ac:dyDescent="0.25">
      <c r="A11" t="s">
        <v>30</v>
      </c>
      <c r="B11" t="s">
        <v>24</v>
      </c>
      <c r="C11" s="1">
        <v>-0.4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ExportDataToTxt">
                <anchor moveWithCells="1" sizeWithCells="1">
                  <from>
                    <xdr:col>3</xdr:col>
                    <xdr:colOff>495300</xdr:colOff>
                    <xdr:row>1</xdr:row>
                    <xdr:rowOff>133350</xdr:rowOff>
                  </from>
                  <to>
                    <xdr:col>7</xdr:col>
                    <xdr:colOff>76200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0A11-0130-48A6-A9C9-64E8C08AE076}">
  <sheetPr codeName="Sheet11"/>
  <dimension ref="A1:T239"/>
  <sheetViews>
    <sheetView showGridLines="0" workbookViewId="0">
      <selection activeCell="F2" sqref="F2"/>
    </sheetView>
  </sheetViews>
  <sheetFormatPr defaultRowHeight="15" x14ac:dyDescent="0.25"/>
  <cols>
    <col min="1" max="1" width="10.140625" bestFit="1" customWidth="1"/>
    <col min="2" max="2" width="9.140625" style="1"/>
    <col min="5" max="6" width="10.140625" bestFit="1" customWidth="1"/>
    <col min="10" max="10" width="10.140625" bestFit="1" customWidth="1"/>
    <col min="11" max="11" width="11.85546875" bestFit="1" customWidth="1"/>
    <col min="12" max="12" width="7.85546875" bestFit="1" customWidth="1"/>
    <col min="13" max="13" width="13.140625" bestFit="1" customWidth="1"/>
    <col min="14" max="14" width="4.85546875" bestFit="1" customWidth="1"/>
    <col min="15" max="15" width="16.85546875" bestFit="1" customWidth="1"/>
    <col min="16" max="16" width="4.28515625" bestFit="1" customWidth="1"/>
    <col min="17" max="17" width="18.5703125" bestFit="1" customWidth="1"/>
    <col min="18" max="18" width="11.7109375" bestFit="1" customWidth="1"/>
    <col min="19" max="19" width="7.28515625" bestFit="1" customWidth="1"/>
    <col min="20" max="20" width="6.85546875" bestFit="1" customWidth="1"/>
  </cols>
  <sheetData>
    <row r="1" spans="1:20" x14ac:dyDescent="0.25">
      <c r="A1" t="s">
        <v>25</v>
      </c>
      <c r="B1" s="1" t="s">
        <v>26</v>
      </c>
      <c r="C1" t="s">
        <v>27</v>
      </c>
      <c r="E1" t="s">
        <v>32</v>
      </c>
      <c r="F1" t="s">
        <v>33</v>
      </c>
      <c r="K1" t="s">
        <v>31</v>
      </c>
      <c r="L1" t="s">
        <v>10</v>
      </c>
      <c r="M1" t="s">
        <v>3</v>
      </c>
      <c r="N1" t="s">
        <v>4</v>
      </c>
      <c r="O1" t="s">
        <v>5</v>
      </c>
      <c r="P1" t="s">
        <v>15</v>
      </c>
      <c r="Q1" t="s">
        <v>6</v>
      </c>
      <c r="R1" t="s">
        <v>7</v>
      </c>
      <c r="S1" t="s">
        <v>8</v>
      </c>
      <c r="T1" t="s">
        <v>30</v>
      </c>
    </row>
    <row r="2" spans="1:20" x14ac:dyDescent="0.25">
      <c r="A2" s="7">
        <v>45292</v>
      </c>
      <c r="B2" s="1">
        <v>0</v>
      </c>
      <c r="C2">
        <v>100</v>
      </c>
      <c r="E2" s="7">
        <f>DATE(2023,12,29)</f>
        <v>45289</v>
      </c>
      <c r="F2" s="7">
        <f ca="1">TODAY()</f>
        <v>45523</v>
      </c>
      <c r="J2" t="s">
        <v>25</v>
      </c>
    </row>
    <row r="3" spans="1:20" x14ac:dyDescent="0.25">
      <c r="A3" s="7">
        <v>45293</v>
      </c>
      <c r="J3" s="7">
        <v>45293</v>
      </c>
      <c r="K3" s="1">
        <v>0.1</v>
      </c>
      <c r="L3" s="1">
        <v>0.1</v>
      </c>
      <c r="M3" s="1">
        <v>0.1</v>
      </c>
      <c r="N3" s="1">
        <v>0.1</v>
      </c>
      <c r="O3" s="1">
        <v>0.1</v>
      </c>
      <c r="P3" s="1">
        <v>0.1</v>
      </c>
      <c r="Q3" s="1">
        <v>0.1</v>
      </c>
      <c r="R3" s="1">
        <v>0.1</v>
      </c>
      <c r="S3" s="1">
        <v>0.1</v>
      </c>
      <c r="T3" s="1">
        <v>0.1</v>
      </c>
    </row>
    <row r="4" spans="1:20" x14ac:dyDescent="0.25">
      <c r="J4" s="7">
        <f>J3+1</f>
        <v>45294</v>
      </c>
      <c r="K4" s="1">
        <v>0.1</v>
      </c>
      <c r="L4" s="1">
        <v>0.1</v>
      </c>
      <c r="M4" s="1">
        <v>0.1</v>
      </c>
      <c r="N4" s="1">
        <v>0.1</v>
      </c>
      <c r="O4" s="1">
        <v>0.1</v>
      </c>
      <c r="P4" s="1">
        <v>0.1</v>
      </c>
      <c r="Q4" s="1">
        <v>0.1</v>
      </c>
      <c r="R4" s="1">
        <v>0.1</v>
      </c>
      <c r="S4" s="1">
        <v>0.1</v>
      </c>
      <c r="T4" s="1">
        <v>0.1</v>
      </c>
    </row>
    <row r="5" spans="1:20" x14ac:dyDescent="0.25">
      <c r="J5" s="7">
        <f t="shared" ref="J5:J68" si="0">J4+1</f>
        <v>45295</v>
      </c>
      <c r="K5" s="1">
        <v>0.1</v>
      </c>
      <c r="L5" s="1">
        <v>0.1</v>
      </c>
      <c r="M5" s="1">
        <v>0.1</v>
      </c>
      <c r="N5" s="1">
        <v>0.1</v>
      </c>
      <c r="O5" s="1">
        <v>0.1</v>
      </c>
      <c r="P5" s="1">
        <v>0.1</v>
      </c>
      <c r="Q5" s="1">
        <v>0.1</v>
      </c>
      <c r="R5" s="1">
        <v>0.1</v>
      </c>
      <c r="S5" s="1">
        <v>0.1</v>
      </c>
      <c r="T5" s="1">
        <v>0.1</v>
      </c>
    </row>
    <row r="6" spans="1:20" x14ac:dyDescent="0.25">
      <c r="J6" s="7">
        <f t="shared" si="0"/>
        <v>45296</v>
      </c>
      <c r="K6" s="1">
        <v>0.1</v>
      </c>
      <c r="L6" s="1">
        <v>0.1</v>
      </c>
      <c r="M6" s="1">
        <v>0.1</v>
      </c>
      <c r="N6" s="1">
        <v>0.1</v>
      </c>
      <c r="O6" s="1">
        <v>0.1</v>
      </c>
      <c r="P6" s="1">
        <v>0.1</v>
      </c>
      <c r="Q6" s="1">
        <v>0.1</v>
      </c>
      <c r="R6" s="1">
        <v>0.1</v>
      </c>
      <c r="S6" s="1">
        <v>0.1</v>
      </c>
      <c r="T6" s="1">
        <v>0.1</v>
      </c>
    </row>
    <row r="7" spans="1:20" x14ac:dyDescent="0.25">
      <c r="J7" s="7">
        <f t="shared" si="0"/>
        <v>45297</v>
      </c>
      <c r="K7" s="1">
        <v>0.1</v>
      </c>
      <c r="L7" s="1">
        <v>0.1</v>
      </c>
      <c r="M7" s="1">
        <v>0.1</v>
      </c>
      <c r="N7" s="1">
        <v>0.1</v>
      </c>
      <c r="O7" s="1">
        <v>0.1</v>
      </c>
      <c r="P7" s="1">
        <v>0.1</v>
      </c>
      <c r="Q7" s="1">
        <v>0.1</v>
      </c>
      <c r="R7" s="1">
        <v>0.1</v>
      </c>
      <c r="S7" s="1">
        <v>0.1</v>
      </c>
      <c r="T7" s="1">
        <v>0.1</v>
      </c>
    </row>
    <row r="8" spans="1:20" x14ac:dyDescent="0.25">
      <c r="J8" s="7">
        <f t="shared" si="0"/>
        <v>45298</v>
      </c>
      <c r="K8" s="1">
        <v>0.1</v>
      </c>
      <c r="L8" s="1">
        <v>0.1</v>
      </c>
      <c r="M8" s="1">
        <v>0.1</v>
      </c>
      <c r="N8" s="1">
        <v>0.1</v>
      </c>
      <c r="O8" s="1">
        <v>0.1</v>
      </c>
      <c r="P8" s="1">
        <v>0.1</v>
      </c>
      <c r="Q8" s="1">
        <v>0.1</v>
      </c>
      <c r="R8" s="1">
        <v>0.1</v>
      </c>
      <c r="S8" s="1">
        <v>0.1</v>
      </c>
      <c r="T8" s="1">
        <v>0.1</v>
      </c>
    </row>
    <row r="9" spans="1:20" x14ac:dyDescent="0.25">
      <c r="J9" s="7">
        <f t="shared" si="0"/>
        <v>45299</v>
      </c>
      <c r="K9" s="1">
        <v>0.1</v>
      </c>
      <c r="L9" s="1">
        <v>0.1</v>
      </c>
      <c r="M9" s="1">
        <v>0.1</v>
      </c>
      <c r="N9" s="1">
        <v>0.1</v>
      </c>
      <c r="O9" s="1">
        <v>0.1</v>
      </c>
      <c r="P9" s="1">
        <v>0.1</v>
      </c>
      <c r="Q9" s="1">
        <v>0.1</v>
      </c>
      <c r="R9" s="1">
        <v>0.1</v>
      </c>
      <c r="S9" s="1">
        <v>0.1</v>
      </c>
      <c r="T9" s="1">
        <v>0.1</v>
      </c>
    </row>
    <row r="10" spans="1:20" x14ac:dyDescent="0.25">
      <c r="J10" s="7">
        <f t="shared" si="0"/>
        <v>45300</v>
      </c>
      <c r="K10" s="1">
        <v>0.1</v>
      </c>
      <c r="L10" s="1">
        <v>0.1</v>
      </c>
      <c r="M10" s="1">
        <v>0.1</v>
      </c>
      <c r="N10" s="1">
        <v>0.1</v>
      </c>
      <c r="O10" s="1">
        <v>0.1</v>
      </c>
      <c r="P10" s="1">
        <v>0.1</v>
      </c>
      <c r="Q10" s="1">
        <v>0.1</v>
      </c>
      <c r="R10" s="1">
        <v>0.1</v>
      </c>
      <c r="S10" s="1">
        <v>0.1</v>
      </c>
      <c r="T10" s="1">
        <v>0.1</v>
      </c>
    </row>
    <row r="11" spans="1:20" x14ac:dyDescent="0.25">
      <c r="J11" s="7">
        <f t="shared" si="0"/>
        <v>45301</v>
      </c>
      <c r="K11" s="1">
        <v>0.1</v>
      </c>
      <c r="L11" s="1">
        <v>0.1</v>
      </c>
      <c r="M11" s="1">
        <v>0.1</v>
      </c>
      <c r="N11" s="1">
        <v>0.1</v>
      </c>
      <c r="O11" s="1">
        <v>0.1</v>
      </c>
      <c r="P11" s="1">
        <v>0.1</v>
      </c>
      <c r="Q11" s="1">
        <v>0.1</v>
      </c>
      <c r="R11" s="1">
        <v>0.1</v>
      </c>
      <c r="S11" s="1">
        <v>0.1</v>
      </c>
      <c r="T11" s="1">
        <v>0.1</v>
      </c>
    </row>
    <row r="12" spans="1:20" x14ac:dyDescent="0.25">
      <c r="J12" s="7">
        <f t="shared" si="0"/>
        <v>45302</v>
      </c>
      <c r="K12" s="1">
        <v>0.1</v>
      </c>
      <c r="L12" s="1">
        <v>0.1</v>
      </c>
      <c r="M12" s="1">
        <v>0.1</v>
      </c>
      <c r="N12" s="1">
        <v>0.1</v>
      </c>
      <c r="O12" s="1">
        <v>0.1</v>
      </c>
      <c r="P12" s="1">
        <v>0.1</v>
      </c>
      <c r="Q12" s="1">
        <v>0.1</v>
      </c>
      <c r="R12" s="1">
        <v>0.1</v>
      </c>
      <c r="S12" s="1">
        <v>0.1</v>
      </c>
      <c r="T12" s="1">
        <v>0.1</v>
      </c>
    </row>
    <row r="13" spans="1:20" x14ac:dyDescent="0.25">
      <c r="J13" s="7">
        <f t="shared" si="0"/>
        <v>45303</v>
      </c>
      <c r="K13" s="1">
        <v>0.1</v>
      </c>
      <c r="L13" s="1">
        <v>0.1</v>
      </c>
      <c r="M13" s="1">
        <v>0.1</v>
      </c>
      <c r="N13" s="1">
        <v>0.1</v>
      </c>
      <c r="O13" s="1">
        <v>0.1</v>
      </c>
      <c r="P13" s="1">
        <v>0.1</v>
      </c>
      <c r="Q13" s="1">
        <v>0.1</v>
      </c>
      <c r="R13" s="1">
        <v>0.1</v>
      </c>
      <c r="S13" s="1">
        <v>0.1</v>
      </c>
      <c r="T13" s="1">
        <v>0.1</v>
      </c>
    </row>
    <row r="14" spans="1:20" x14ac:dyDescent="0.25">
      <c r="J14" s="7">
        <f t="shared" si="0"/>
        <v>45304</v>
      </c>
      <c r="K14" s="1">
        <v>0.1</v>
      </c>
      <c r="L14" s="1">
        <v>0.1</v>
      </c>
      <c r="M14" s="1">
        <v>0.1</v>
      </c>
      <c r="N14" s="1">
        <v>0.1</v>
      </c>
      <c r="O14" s="1">
        <v>0.1</v>
      </c>
      <c r="P14" s="1">
        <v>0.1</v>
      </c>
      <c r="Q14" s="1">
        <v>0.1</v>
      </c>
      <c r="R14" s="1">
        <v>0.1</v>
      </c>
      <c r="S14" s="1">
        <v>0.1</v>
      </c>
      <c r="T14" s="1">
        <v>0.1</v>
      </c>
    </row>
    <row r="15" spans="1:20" x14ac:dyDescent="0.25">
      <c r="J15" s="7">
        <f t="shared" si="0"/>
        <v>45305</v>
      </c>
      <c r="K15" s="1">
        <v>0.1</v>
      </c>
      <c r="L15" s="1">
        <v>0.1</v>
      </c>
      <c r="M15" s="1">
        <v>0.1</v>
      </c>
      <c r="N15" s="1">
        <v>0.1</v>
      </c>
      <c r="O15" s="1">
        <v>0.1</v>
      </c>
      <c r="P15" s="1">
        <v>0.1</v>
      </c>
      <c r="Q15" s="1">
        <v>0.1</v>
      </c>
      <c r="R15" s="1">
        <v>0.1</v>
      </c>
      <c r="S15" s="1">
        <v>0.1</v>
      </c>
      <c r="T15" s="1">
        <v>0.1</v>
      </c>
    </row>
    <row r="16" spans="1:20" x14ac:dyDescent="0.25">
      <c r="J16" s="7">
        <f t="shared" si="0"/>
        <v>45306</v>
      </c>
      <c r="K16" s="1">
        <v>0.1</v>
      </c>
      <c r="L16" s="1">
        <v>0.1</v>
      </c>
      <c r="M16" s="1">
        <v>0.1</v>
      </c>
      <c r="N16" s="1">
        <v>0.1</v>
      </c>
      <c r="O16" s="1">
        <v>0.1</v>
      </c>
      <c r="P16" s="1">
        <v>0.1</v>
      </c>
      <c r="Q16" s="1">
        <v>0.1</v>
      </c>
      <c r="R16" s="1">
        <v>0.1</v>
      </c>
      <c r="S16" s="1">
        <v>0.1</v>
      </c>
      <c r="T16" s="1">
        <v>0.1</v>
      </c>
    </row>
    <row r="17" spans="10:20" x14ac:dyDescent="0.25">
      <c r="J17" s="7">
        <f t="shared" si="0"/>
        <v>45307</v>
      </c>
      <c r="K17" s="1">
        <v>0.1</v>
      </c>
      <c r="L17" s="1">
        <v>0.1</v>
      </c>
      <c r="M17" s="1">
        <v>0.1</v>
      </c>
      <c r="N17" s="1">
        <v>0.1</v>
      </c>
      <c r="O17" s="1">
        <v>0.1</v>
      </c>
      <c r="P17" s="1">
        <v>0.1</v>
      </c>
      <c r="Q17" s="1">
        <v>0.1</v>
      </c>
      <c r="R17" s="1">
        <v>0.1</v>
      </c>
      <c r="S17" s="1">
        <v>0.1</v>
      </c>
      <c r="T17" s="1">
        <v>0.1</v>
      </c>
    </row>
    <row r="18" spans="10:20" x14ac:dyDescent="0.25">
      <c r="J18" s="7">
        <f t="shared" si="0"/>
        <v>45308</v>
      </c>
      <c r="K18" s="1">
        <v>0.1</v>
      </c>
      <c r="L18" s="1">
        <v>0.1</v>
      </c>
      <c r="M18" s="1">
        <v>0.1</v>
      </c>
      <c r="N18" s="1">
        <v>0.1</v>
      </c>
      <c r="O18" s="1">
        <v>0.1</v>
      </c>
      <c r="P18" s="1">
        <v>0.1</v>
      </c>
      <c r="Q18" s="1">
        <v>0.1</v>
      </c>
      <c r="R18" s="1">
        <v>0.1</v>
      </c>
      <c r="S18" s="1">
        <v>0.1</v>
      </c>
      <c r="T18" s="1">
        <v>0.1</v>
      </c>
    </row>
    <row r="19" spans="10:20" x14ac:dyDescent="0.25">
      <c r="J19" s="7">
        <f t="shared" si="0"/>
        <v>45309</v>
      </c>
      <c r="K19" s="1">
        <v>0.1</v>
      </c>
      <c r="L19" s="1">
        <v>0.1</v>
      </c>
      <c r="M19" s="1">
        <v>0.1</v>
      </c>
      <c r="N19" s="1">
        <v>0.1</v>
      </c>
      <c r="O19" s="1">
        <v>0.1</v>
      </c>
      <c r="P19" s="1">
        <v>0.1</v>
      </c>
      <c r="Q19" s="1">
        <v>0.1</v>
      </c>
      <c r="R19" s="1">
        <v>0.1</v>
      </c>
      <c r="S19" s="1">
        <v>0.1</v>
      </c>
      <c r="T19" s="1">
        <v>0.1</v>
      </c>
    </row>
    <row r="20" spans="10:20" x14ac:dyDescent="0.25">
      <c r="J20" s="7">
        <f t="shared" si="0"/>
        <v>45310</v>
      </c>
      <c r="K20" s="1">
        <v>0.1</v>
      </c>
      <c r="L20" s="1">
        <v>0.1</v>
      </c>
      <c r="M20" s="1">
        <v>0.1</v>
      </c>
      <c r="N20" s="1">
        <v>0.1</v>
      </c>
      <c r="O20" s="1">
        <v>0.1</v>
      </c>
      <c r="P20" s="1">
        <v>0.1</v>
      </c>
      <c r="Q20" s="1">
        <v>0.1</v>
      </c>
      <c r="R20" s="1">
        <v>0.1</v>
      </c>
      <c r="S20" s="1">
        <v>0.1</v>
      </c>
      <c r="T20" s="1">
        <v>0.1</v>
      </c>
    </row>
    <row r="21" spans="10:20" x14ac:dyDescent="0.25">
      <c r="J21" s="7">
        <f t="shared" si="0"/>
        <v>45311</v>
      </c>
      <c r="K21" s="1">
        <v>0.1</v>
      </c>
      <c r="L21" s="1">
        <v>0.1</v>
      </c>
      <c r="M21" s="1">
        <v>0.1</v>
      </c>
      <c r="N21" s="1">
        <v>0.1</v>
      </c>
      <c r="O21" s="1">
        <v>0.1</v>
      </c>
      <c r="P21" s="1">
        <v>0.1</v>
      </c>
      <c r="Q21" s="1">
        <v>0.1</v>
      </c>
      <c r="R21" s="1">
        <v>0.1</v>
      </c>
      <c r="S21" s="1">
        <v>0.1</v>
      </c>
      <c r="T21" s="1">
        <v>0.1</v>
      </c>
    </row>
    <row r="22" spans="10:20" x14ac:dyDescent="0.25">
      <c r="J22" s="7">
        <f t="shared" si="0"/>
        <v>45312</v>
      </c>
      <c r="K22" s="1">
        <v>0.1</v>
      </c>
      <c r="L22" s="1">
        <v>0.1</v>
      </c>
      <c r="M22" s="1">
        <v>0.1</v>
      </c>
      <c r="N22" s="1">
        <v>0.1</v>
      </c>
      <c r="O22" s="1">
        <v>0.1</v>
      </c>
      <c r="P22" s="1">
        <v>0.1</v>
      </c>
      <c r="Q22" s="1">
        <v>0.1</v>
      </c>
      <c r="R22" s="1">
        <v>0.1</v>
      </c>
      <c r="S22" s="1">
        <v>0.1</v>
      </c>
      <c r="T22" s="1">
        <v>0.1</v>
      </c>
    </row>
    <row r="23" spans="10:20" x14ac:dyDescent="0.25">
      <c r="J23" s="7">
        <f t="shared" si="0"/>
        <v>45313</v>
      </c>
      <c r="K23" s="1">
        <v>0.1</v>
      </c>
      <c r="L23" s="1">
        <v>0.1</v>
      </c>
      <c r="M23" s="1">
        <v>0.1</v>
      </c>
      <c r="N23" s="1">
        <v>0.1</v>
      </c>
      <c r="O23" s="1">
        <v>0.1</v>
      </c>
      <c r="P23" s="1">
        <v>0.1</v>
      </c>
      <c r="Q23" s="1">
        <v>0.1</v>
      </c>
      <c r="R23" s="1">
        <v>0.1</v>
      </c>
      <c r="S23" s="1">
        <v>0.1</v>
      </c>
      <c r="T23" s="1">
        <v>0.1</v>
      </c>
    </row>
    <row r="24" spans="10:20" x14ac:dyDescent="0.25">
      <c r="J24" s="7">
        <f t="shared" si="0"/>
        <v>45314</v>
      </c>
      <c r="K24" s="1">
        <v>0.1</v>
      </c>
      <c r="L24" s="1">
        <v>0.1</v>
      </c>
      <c r="M24" s="1">
        <v>0.1</v>
      </c>
      <c r="N24" s="1">
        <v>0.1</v>
      </c>
      <c r="O24" s="1">
        <v>0.1</v>
      </c>
      <c r="P24" s="1">
        <v>0.1</v>
      </c>
      <c r="Q24" s="1">
        <v>0.1</v>
      </c>
      <c r="R24" s="1">
        <v>0.1</v>
      </c>
      <c r="S24" s="1">
        <v>0.1</v>
      </c>
      <c r="T24" s="1">
        <v>0.1</v>
      </c>
    </row>
    <row r="25" spans="10:20" x14ac:dyDescent="0.25">
      <c r="J25" s="7">
        <f t="shared" si="0"/>
        <v>45315</v>
      </c>
      <c r="K25" s="1">
        <v>0.1</v>
      </c>
      <c r="L25" s="1">
        <v>0.1</v>
      </c>
      <c r="M25" s="1">
        <v>0.1</v>
      </c>
      <c r="N25" s="1">
        <v>0.1</v>
      </c>
      <c r="O25" s="1">
        <v>0.1</v>
      </c>
      <c r="P25" s="1">
        <v>0.1</v>
      </c>
      <c r="Q25" s="1">
        <v>0.1</v>
      </c>
      <c r="R25" s="1">
        <v>0.1</v>
      </c>
      <c r="S25" s="1">
        <v>0.1</v>
      </c>
      <c r="T25" s="1">
        <v>0.1</v>
      </c>
    </row>
    <row r="26" spans="10:20" x14ac:dyDescent="0.25">
      <c r="J26" s="7">
        <f t="shared" si="0"/>
        <v>45316</v>
      </c>
      <c r="K26" s="1">
        <v>0.1</v>
      </c>
      <c r="L26" s="1">
        <v>0.1</v>
      </c>
      <c r="M26" s="1">
        <v>0.1</v>
      </c>
      <c r="N26" s="1">
        <v>0.1</v>
      </c>
      <c r="O26" s="1">
        <v>0.1</v>
      </c>
      <c r="P26" s="1">
        <v>0.1</v>
      </c>
      <c r="Q26" s="1">
        <v>0.1</v>
      </c>
      <c r="R26" s="1">
        <v>0.1</v>
      </c>
      <c r="S26" s="1">
        <v>0.1</v>
      </c>
      <c r="T26" s="1">
        <v>0.1</v>
      </c>
    </row>
    <row r="27" spans="10:20" x14ac:dyDescent="0.25">
      <c r="J27" s="7">
        <f t="shared" si="0"/>
        <v>45317</v>
      </c>
      <c r="K27" s="1">
        <v>0.1</v>
      </c>
      <c r="L27" s="1">
        <v>0.1</v>
      </c>
      <c r="M27" s="1">
        <v>0.1</v>
      </c>
      <c r="N27" s="1">
        <v>0.1</v>
      </c>
      <c r="O27" s="1">
        <v>0.1</v>
      </c>
      <c r="P27" s="1">
        <v>0.1</v>
      </c>
      <c r="Q27" s="1">
        <v>0.1</v>
      </c>
      <c r="R27" s="1">
        <v>0.1</v>
      </c>
      <c r="S27" s="1">
        <v>0.1</v>
      </c>
      <c r="T27" s="1">
        <v>0.1</v>
      </c>
    </row>
    <row r="28" spans="10:20" x14ac:dyDescent="0.25">
      <c r="J28" s="7">
        <f t="shared" si="0"/>
        <v>45318</v>
      </c>
      <c r="K28" s="1">
        <v>0.1</v>
      </c>
      <c r="L28" s="1">
        <v>0.1</v>
      </c>
      <c r="M28" s="1">
        <v>0.1</v>
      </c>
      <c r="N28" s="1">
        <v>0.1</v>
      </c>
      <c r="O28" s="1">
        <v>0.1</v>
      </c>
      <c r="P28" s="1">
        <v>0.1</v>
      </c>
      <c r="Q28" s="1">
        <v>0.1</v>
      </c>
      <c r="R28" s="1">
        <v>0.1</v>
      </c>
      <c r="S28" s="1">
        <v>0.1</v>
      </c>
      <c r="T28" s="1">
        <v>0.1</v>
      </c>
    </row>
    <row r="29" spans="10:20" x14ac:dyDescent="0.25">
      <c r="J29" s="7">
        <f t="shared" si="0"/>
        <v>45319</v>
      </c>
      <c r="K29" s="1">
        <v>0.1</v>
      </c>
      <c r="L29" s="1">
        <v>0.1</v>
      </c>
      <c r="M29" s="1">
        <v>0.1</v>
      </c>
      <c r="N29" s="1">
        <v>0.1</v>
      </c>
      <c r="O29" s="1">
        <v>0.1</v>
      </c>
      <c r="P29" s="1">
        <v>0.1</v>
      </c>
      <c r="Q29" s="1">
        <v>0.1</v>
      </c>
      <c r="R29" s="1">
        <v>0.1</v>
      </c>
      <c r="S29" s="1">
        <v>0.1</v>
      </c>
      <c r="T29" s="1">
        <v>0.1</v>
      </c>
    </row>
    <row r="30" spans="10:20" x14ac:dyDescent="0.25">
      <c r="J30" s="7">
        <f t="shared" si="0"/>
        <v>45320</v>
      </c>
      <c r="K30" s="1">
        <v>0.1</v>
      </c>
      <c r="L30" s="1">
        <v>0.1</v>
      </c>
      <c r="M30" s="1">
        <v>0.1</v>
      </c>
      <c r="N30" s="1">
        <v>0.1</v>
      </c>
      <c r="O30" s="1">
        <v>0.1</v>
      </c>
      <c r="P30" s="1">
        <v>0.1</v>
      </c>
      <c r="Q30" s="1">
        <v>0.1</v>
      </c>
      <c r="R30" s="1">
        <v>0.1</v>
      </c>
      <c r="S30" s="1">
        <v>0.1</v>
      </c>
      <c r="T30" s="1">
        <v>0.1</v>
      </c>
    </row>
    <row r="31" spans="10:20" x14ac:dyDescent="0.25">
      <c r="J31" s="7">
        <f t="shared" si="0"/>
        <v>45321</v>
      </c>
      <c r="K31" s="1">
        <v>0.1</v>
      </c>
      <c r="L31" s="1">
        <v>0.1</v>
      </c>
      <c r="M31" s="1">
        <v>0.1</v>
      </c>
      <c r="N31" s="1">
        <v>0.1</v>
      </c>
      <c r="O31" s="1">
        <v>0.1</v>
      </c>
      <c r="P31" s="1">
        <v>0.1</v>
      </c>
      <c r="Q31" s="1">
        <v>0.1</v>
      </c>
      <c r="R31" s="1">
        <v>0.1</v>
      </c>
      <c r="S31" s="1">
        <v>0.1</v>
      </c>
      <c r="T31" s="1">
        <v>0.1</v>
      </c>
    </row>
    <row r="32" spans="10:20" x14ac:dyDescent="0.25">
      <c r="J32" s="7">
        <f t="shared" si="0"/>
        <v>45322</v>
      </c>
      <c r="K32" s="1">
        <v>0.1</v>
      </c>
      <c r="L32" s="1">
        <v>0.1</v>
      </c>
      <c r="M32" s="1">
        <v>0.1</v>
      </c>
      <c r="N32" s="1">
        <v>0.1</v>
      </c>
      <c r="O32" s="1">
        <v>0.1</v>
      </c>
      <c r="P32" s="1">
        <v>0.1</v>
      </c>
      <c r="Q32" s="1">
        <v>0.1</v>
      </c>
      <c r="R32" s="1">
        <v>0.1</v>
      </c>
      <c r="S32" s="1">
        <v>0.1</v>
      </c>
      <c r="T32" s="1">
        <v>0.1</v>
      </c>
    </row>
    <row r="33" spans="10:20" x14ac:dyDescent="0.25">
      <c r="J33" s="7">
        <f t="shared" si="0"/>
        <v>45323</v>
      </c>
      <c r="K33" s="1">
        <v>0.1</v>
      </c>
      <c r="L33" s="1">
        <v>0.1</v>
      </c>
      <c r="M33" s="1">
        <v>0.1</v>
      </c>
      <c r="N33" s="1">
        <v>0.1</v>
      </c>
      <c r="O33" s="1">
        <v>0.1</v>
      </c>
      <c r="P33" s="1">
        <v>0.1</v>
      </c>
      <c r="Q33" s="1">
        <v>0.1</v>
      </c>
      <c r="R33" s="1">
        <v>0.1</v>
      </c>
      <c r="S33" s="1">
        <v>0.1</v>
      </c>
      <c r="T33" s="1">
        <v>0.1</v>
      </c>
    </row>
    <row r="34" spans="10:20" x14ac:dyDescent="0.25">
      <c r="J34" s="7">
        <f t="shared" si="0"/>
        <v>45324</v>
      </c>
      <c r="K34" s="1">
        <v>0.1</v>
      </c>
      <c r="L34" s="1">
        <v>0.1</v>
      </c>
      <c r="M34" s="1">
        <v>0.1</v>
      </c>
      <c r="N34" s="1">
        <v>0.1</v>
      </c>
      <c r="O34" s="1">
        <v>0.1</v>
      </c>
      <c r="P34" s="1">
        <v>0.1</v>
      </c>
      <c r="Q34" s="1">
        <v>0.1</v>
      </c>
      <c r="R34" s="1">
        <v>0.1</v>
      </c>
      <c r="S34" s="1">
        <v>0.1</v>
      </c>
      <c r="T34" s="1">
        <v>0.1</v>
      </c>
    </row>
    <row r="35" spans="10:20" x14ac:dyDescent="0.25">
      <c r="J35" s="7">
        <f t="shared" si="0"/>
        <v>45325</v>
      </c>
      <c r="K35" s="1">
        <v>0.1</v>
      </c>
      <c r="L35" s="1">
        <v>0.1</v>
      </c>
      <c r="M35" s="1">
        <v>0.1</v>
      </c>
      <c r="N35" s="1">
        <v>0.1</v>
      </c>
      <c r="O35" s="1">
        <v>0.1</v>
      </c>
      <c r="P35" s="1">
        <v>0.1</v>
      </c>
      <c r="Q35" s="1">
        <v>0.1</v>
      </c>
      <c r="R35" s="1">
        <v>0.1</v>
      </c>
      <c r="S35" s="1">
        <v>0.1</v>
      </c>
      <c r="T35" s="1">
        <v>0.1</v>
      </c>
    </row>
    <row r="36" spans="10:20" x14ac:dyDescent="0.25">
      <c r="J36" s="7">
        <f t="shared" si="0"/>
        <v>45326</v>
      </c>
      <c r="K36" s="1">
        <v>0.1</v>
      </c>
      <c r="L36" s="1">
        <v>0.1</v>
      </c>
      <c r="M36" s="1">
        <v>0.1</v>
      </c>
      <c r="N36" s="1">
        <v>0.1</v>
      </c>
      <c r="O36" s="1">
        <v>0.1</v>
      </c>
      <c r="P36" s="1">
        <v>0.1</v>
      </c>
      <c r="Q36" s="1">
        <v>0.1</v>
      </c>
      <c r="R36" s="1">
        <v>0.1</v>
      </c>
      <c r="S36" s="1">
        <v>0.1</v>
      </c>
      <c r="T36" s="1">
        <v>0.1</v>
      </c>
    </row>
    <row r="37" spans="10:20" x14ac:dyDescent="0.25">
      <c r="J37" s="7">
        <f t="shared" si="0"/>
        <v>45327</v>
      </c>
      <c r="K37" s="1">
        <v>0.1</v>
      </c>
      <c r="L37" s="1">
        <v>0.1</v>
      </c>
      <c r="M37" s="1">
        <v>0.1</v>
      </c>
      <c r="N37" s="1">
        <v>0.1</v>
      </c>
      <c r="O37" s="1">
        <v>0.1</v>
      </c>
      <c r="P37" s="1">
        <v>0.1</v>
      </c>
      <c r="Q37" s="1">
        <v>0.1</v>
      </c>
      <c r="R37" s="1">
        <v>0.1</v>
      </c>
      <c r="S37" s="1">
        <v>0.1</v>
      </c>
      <c r="T37" s="1">
        <v>0.1</v>
      </c>
    </row>
    <row r="38" spans="10:20" x14ac:dyDescent="0.25">
      <c r="J38" s="7">
        <f t="shared" si="0"/>
        <v>45328</v>
      </c>
      <c r="K38" s="1">
        <v>0.1</v>
      </c>
      <c r="L38" s="1">
        <v>0.1</v>
      </c>
      <c r="M38" s="1">
        <v>0.1</v>
      </c>
      <c r="N38" s="1">
        <v>0.1</v>
      </c>
      <c r="O38" s="1">
        <v>0.1</v>
      </c>
      <c r="P38" s="1">
        <v>0.1</v>
      </c>
      <c r="Q38" s="1">
        <v>0.1</v>
      </c>
      <c r="R38" s="1">
        <v>0.1</v>
      </c>
      <c r="S38" s="1">
        <v>0.1</v>
      </c>
      <c r="T38" s="1">
        <v>0.1</v>
      </c>
    </row>
    <row r="39" spans="10:20" x14ac:dyDescent="0.25">
      <c r="J39" s="7">
        <f t="shared" si="0"/>
        <v>45329</v>
      </c>
      <c r="K39" s="1">
        <v>0.1</v>
      </c>
      <c r="L39" s="1">
        <v>0.1</v>
      </c>
      <c r="M39" s="1">
        <v>0.1</v>
      </c>
      <c r="N39" s="1">
        <v>0.1</v>
      </c>
      <c r="O39" s="1">
        <v>0.1</v>
      </c>
      <c r="P39" s="1">
        <v>0.1</v>
      </c>
      <c r="Q39" s="1">
        <v>0.1</v>
      </c>
      <c r="R39" s="1">
        <v>0.1</v>
      </c>
      <c r="S39" s="1">
        <v>0.1</v>
      </c>
      <c r="T39" s="1">
        <v>0.1</v>
      </c>
    </row>
    <row r="40" spans="10:20" x14ac:dyDescent="0.25">
      <c r="J40" s="7">
        <f t="shared" si="0"/>
        <v>45330</v>
      </c>
      <c r="K40" s="1">
        <v>0.1</v>
      </c>
      <c r="L40" s="1">
        <v>0.1</v>
      </c>
      <c r="M40" s="1">
        <v>0.1</v>
      </c>
      <c r="N40" s="1">
        <v>0.1</v>
      </c>
      <c r="O40" s="1">
        <v>0.1</v>
      </c>
      <c r="P40" s="1">
        <v>0.1</v>
      </c>
      <c r="Q40" s="1">
        <v>0.1</v>
      </c>
      <c r="R40" s="1">
        <v>0.1</v>
      </c>
      <c r="S40" s="1">
        <v>0.1</v>
      </c>
      <c r="T40" s="1">
        <v>0.1</v>
      </c>
    </row>
    <row r="41" spans="10:20" x14ac:dyDescent="0.25">
      <c r="J41" s="7">
        <f t="shared" si="0"/>
        <v>45331</v>
      </c>
      <c r="K41" s="1">
        <v>0.1</v>
      </c>
      <c r="L41" s="1">
        <v>0.1</v>
      </c>
      <c r="M41" s="1">
        <v>0.1</v>
      </c>
      <c r="N41" s="1">
        <v>0.1</v>
      </c>
      <c r="O41" s="1">
        <v>0.1</v>
      </c>
      <c r="P41" s="1">
        <v>0.1</v>
      </c>
      <c r="Q41" s="1">
        <v>0.1</v>
      </c>
      <c r="R41" s="1">
        <v>0.1</v>
      </c>
      <c r="S41" s="1">
        <v>0.1</v>
      </c>
      <c r="T41" s="1">
        <v>0.1</v>
      </c>
    </row>
    <row r="42" spans="10:20" x14ac:dyDescent="0.25">
      <c r="J42" s="7">
        <f t="shared" si="0"/>
        <v>45332</v>
      </c>
      <c r="K42" s="1">
        <v>0.1</v>
      </c>
      <c r="L42" s="1">
        <v>0.1</v>
      </c>
      <c r="M42" s="1">
        <v>0.1</v>
      </c>
      <c r="N42" s="1">
        <v>0.1</v>
      </c>
      <c r="O42" s="1">
        <v>0.1</v>
      </c>
      <c r="P42" s="1">
        <v>0.1</v>
      </c>
      <c r="Q42" s="1">
        <v>0.1</v>
      </c>
      <c r="R42" s="1">
        <v>0.1</v>
      </c>
      <c r="S42" s="1">
        <v>0.1</v>
      </c>
      <c r="T42" s="1">
        <v>0.1</v>
      </c>
    </row>
    <row r="43" spans="10:20" x14ac:dyDescent="0.25">
      <c r="J43" s="7">
        <f t="shared" si="0"/>
        <v>45333</v>
      </c>
      <c r="K43" s="1">
        <v>0.1</v>
      </c>
      <c r="L43" s="1">
        <v>0.1</v>
      </c>
      <c r="M43" s="1">
        <v>0.1</v>
      </c>
      <c r="N43" s="1">
        <v>0.1</v>
      </c>
      <c r="O43" s="1">
        <v>0.1</v>
      </c>
      <c r="P43" s="1">
        <v>0.1</v>
      </c>
      <c r="Q43" s="1">
        <v>0.1</v>
      </c>
      <c r="R43" s="1">
        <v>0.1</v>
      </c>
      <c r="S43" s="1">
        <v>0.1</v>
      </c>
      <c r="T43" s="1">
        <v>0.1</v>
      </c>
    </row>
    <row r="44" spans="10:20" x14ac:dyDescent="0.25">
      <c r="J44" s="7">
        <f t="shared" si="0"/>
        <v>45334</v>
      </c>
      <c r="K44" s="1">
        <v>0.1</v>
      </c>
      <c r="L44" s="1">
        <v>0.1</v>
      </c>
      <c r="M44" s="1">
        <v>0.1</v>
      </c>
      <c r="N44" s="1">
        <v>0.1</v>
      </c>
      <c r="O44" s="1">
        <v>0.1</v>
      </c>
      <c r="P44" s="1">
        <v>0.1</v>
      </c>
      <c r="Q44" s="1">
        <v>0.1</v>
      </c>
      <c r="R44" s="1">
        <v>0.1</v>
      </c>
      <c r="S44" s="1">
        <v>0.1</v>
      </c>
      <c r="T44" s="1">
        <v>0.1</v>
      </c>
    </row>
    <row r="45" spans="10:20" x14ac:dyDescent="0.25">
      <c r="J45" s="7">
        <f t="shared" si="0"/>
        <v>45335</v>
      </c>
      <c r="K45" s="1">
        <v>0.1</v>
      </c>
      <c r="L45" s="1">
        <v>0.1</v>
      </c>
      <c r="M45" s="1">
        <v>0.1</v>
      </c>
      <c r="N45" s="1">
        <v>0.1</v>
      </c>
      <c r="O45" s="1">
        <v>0.1</v>
      </c>
      <c r="P45" s="1">
        <v>0.1</v>
      </c>
      <c r="Q45" s="1">
        <v>0.1</v>
      </c>
      <c r="R45" s="1">
        <v>0.1</v>
      </c>
      <c r="S45" s="1">
        <v>0.1</v>
      </c>
      <c r="T45" s="1">
        <v>0.1</v>
      </c>
    </row>
    <row r="46" spans="10:20" x14ac:dyDescent="0.25">
      <c r="J46" s="7">
        <f t="shared" si="0"/>
        <v>45336</v>
      </c>
      <c r="K46" s="1">
        <v>0.1</v>
      </c>
      <c r="L46" s="1">
        <v>0.1</v>
      </c>
      <c r="M46" s="1">
        <v>0.1</v>
      </c>
      <c r="N46" s="1">
        <v>0.1</v>
      </c>
      <c r="O46" s="1">
        <v>0.1</v>
      </c>
      <c r="P46" s="1">
        <v>0.1</v>
      </c>
      <c r="Q46" s="1">
        <v>0.1</v>
      </c>
      <c r="R46" s="1">
        <v>0.1</v>
      </c>
      <c r="S46" s="1">
        <v>0.1</v>
      </c>
      <c r="T46" s="1">
        <v>0.1</v>
      </c>
    </row>
    <row r="47" spans="10:20" x14ac:dyDescent="0.25">
      <c r="J47" s="7">
        <f t="shared" si="0"/>
        <v>45337</v>
      </c>
      <c r="K47" s="1">
        <v>0.1</v>
      </c>
      <c r="L47" s="1">
        <v>0.1</v>
      </c>
      <c r="M47" s="1">
        <v>0.1</v>
      </c>
      <c r="N47" s="1">
        <v>0.1</v>
      </c>
      <c r="O47" s="1">
        <v>0.1</v>
      </c>
      <c r="P47" s="1">
        <v>0.1</v>
      </c>
      <c r="Q47" s="1">
        <v>0.1</v>
      </c>
      <c r="R47" s="1">
        <v>0.1</v>
      </c>
      <c r="S47" s="1">
        <v>0.1</v>
      </c>
      <c r="T47" s="1">
        <v>0.1</v>
      </c>
    </row>
    <row r="48" spans="10:20" x14ac:dyDescent="0.25">
      <c r="J48" s="7">
        <f t="shared" si="0"/>
        <v>45338</v>
      </c>
      <c r="K48" s="1">
        <v>0.1</v>
      </c>
      <c r="L48" s="1">
        <v>0.1</v>
      </c>
      <c r="M48" s="1">
        <v>0.1</v>
      </c>
      <c r="N48" s="1">
        <v>0.1</v>
      </c>
      <c r="O48" s="1">
        <v>0.1</v>
      </c>
      <c r="P48" s="1">
        <v>0.1</v>
      </c>
      <c r="Q48" s="1">
        <v>0.1</v>
      </c>
      <c r="R48" s="1">
        <v>0.1</v>
      </c>
      <c r="S48" s="1">
        <v>0.1</v>
      </c>
      <c r="T48" s="1">
        <v>0.1</v>
      </c>
    </row>
    <row r="49" spans="10:20" x14ac:dyDescent="0.25">
      <c r="J49" s="7">
        <f t="shared" si="0"/>
        <v>45339</v>
      </c>
      <c r="K49" s="1">
        <v>0.1</v>
      </c>
      <c r="L49" s="1">
        <v>0.1</v>
      </c>
      <c r="M49" s="1">
        <v>0.1</v>
      </c>
      <c r="N49" s="1">
        <v>0.1</v>
      </c>
      <c r="O49" s="1">
        <v>0.1</v>
      </c>
      <c r="P49" s="1">
        <v>0.1</v>
      </c>
      <c r="Q49" s="1">
        <v>0.1</v>
      </c>
      <c r="R49" s="1">
        <v>0.1</v>
      </c>
      <c r="S49" s="1">
        <v>0.1</v>
      </c>
      <c r="T49" s="1">
        <v>0.1</v>
      </c>
    </row>
    <row r="50" spans="10:20" x14ac:dyDescent="0.25">
      <c r="J50" s="7">
        <f t="shared" si="0"/>
        <v>45340</v>
      </c>
      <c r="K50" s="1">
        <v>0.1</v>
      </c>
      <c r="L50" s="1">
        <v>0.1</v>
      </c>
      <c r="M50" s="1">
        <v>0.1</v>
      </c>
      <c r="N50" s="1">
        <v>0.1</v>
      </c>
      <c r="O50" s="1">
        <v>0.1</v>
      </c>
      <c r="P50" s="1">
        <v>0.1</v>
      </c>
      <c r="Q50" s="1">
        <v>0.1</v>
      </c>
      <c r="R50" s="1">
        <v>0.1</v>
      </c>
      <c r="S50" s="1">
        <v>0.1</v>
      </c>
      <c r="T50" s="1">
        <v>0.1</v>
      </c>
    </row>
    <row r="51" spans="10:20" x14ac:dyDescent="0.25">
      <c r="J51" s="7">
        <f t="shared" si="0"/>
        <v>45341</v>
      </c>
      <c r="K51" s="1">
        <v>0.1</v>
      </c>
      <c r="L51" s="1">
        <v>0.1</v>
      </c>
      <c r="M51" s="1">
        <v>0.1</v>
      </c>
      <c r="N51" s="1">
        <v>0.1</v>
      </c>
      <c r="O51" s="1">
        <v>0.1</v>
      </c>
      <c r="P51" s="1">
        <v>0.1</v>
      </c>
      <c r="Q51" s="1">
        <v>0.1</v>
      </c>
      <c r="R51" s="1">
        <v>0.1</v>
      </c>
      <c r="S51" s="1">
        <v>0.1</v>
      </c>
      <c r="T51" s="1">
        <v>0.1</v>
      </c>
    </row>
    <row r="52" spans="10:20" x14ac:dyDescent="0.25">
      <c r="J52" s="7">
        <f t="shared" si="0"/>
        <v>45342</v>
      </c>
      <c r="K52" s="1">
        <v>0.1</v>
      </c>
      <c r="L52" s="1">
        <v>0.1</v>
      </c>
      <c r="M52" s="1">
        <v>0.1</v>
      </c>
      <c r="N52" s="1">
        <v>0.1</v>
      </c>
      <c r="O52" s="1">
        <v>0.1</v>
      </c>
      <c r="P52" s="1">
        <v>0.1</v>
      </c>
      <c r="Q52" s="1">
        <v>0.1</v>
      </c>
      <c r="R52" s="1">
        <v>0.1</v>
      </c>
      <c r="S52" s="1">
        <v>0.1</v>
      </c>
      <c r="T52" s="1">
        <v>0.1</v>
      </c>
    </row>
    <row r="53" spans="10:20" x14ac:dyDescent="0.25">
      <c r="J53" s="7">
        <f t="shared" si="0"/>
        <v>45343</v>
      </c>
      <c r="K53" s="1">
        <v>0.1</v>
      </c>
      <c r="L53" s="1">
        <v>0.1</v>
      </c>
      <c r="M53" s="1">
        <v>0.1</v>
      </c>
      <c r="N53" s="1">
        <v>0.1</v>
      </c>
      <c r="O53" s="1">
        <v>0.1</v>
      </c>
      <c r="P53" s="1">
        <v>0.1</v>
      </c>
      <c r="Q53" s="1">
        <v>0.1</v>
      </c>
      <c r="R53" s="1">
        <v>0.1</v>
      </c>
      <c r="S53" s="1">
        <v>0.1</v>
      </c>
      <c r="T53" s="1">
        <v>0.1</v>
      </c>
    </row>
    <row r="54" spans="10:20" x14ac:dyDescent="0.25">
      <c r="J54" s="7">
        <f t="shared" si="0"/>
        <v>45344</v>
      </c>
      <c r="K54" s="1">
        <v>0.1</v>
      </c>
      <c r="L54" s="1">
        <v>0.1</v>
      </c>
      <c r="M54" s="1">
        <v>0.1</v>
      </c>
      <c r="N54" s="1">
        <v>0.1</v>
      </c>
      <c r="O54" s="1">
        <v>0.1</v>
      </c>
      <c r="P54" s="1">
        <v>0.1</v>
      </c>
      <c r="Q54" s="1">
        <v>0.1</v>
      </c>
      <c r="R54" s="1">
        <v>0.1</v>
      </c>
      <c r="S54" s="1">
        <v>0.1</v>
      </c>
      <c r="T54" s="1">
        <v>0.1</v>
      </c>
    </row>
    <row r="55" spans="10:20" x14ac:dyDescent="0.25">
      <c r="J55" s="7">
        <f t="shared" si="0"/>
        <v>45345</v>
      </c>
      <c r="K55" s="1">
        <v>0.1</v>
      </c>
      <c r="L55" s="1">
        <v>0.1</v>
      </c>
      <c r="M55" s="1">
        <v>0.1</v>
      </c>
      <c r="N55" s="1">
        <v>0.1</v>
      </c>
      <c r="O55" s="1">
        <v>0.1</v>
      </c>
      <c r="P55" s="1">
        <v>0.1</v>
      </c>
      <c r="Q55" s="1">
        <v>0.1</v>
      </c>
      <c r="R55" s="1">
        <v>0.1</v>
      </c>
      <c r="S55" s="1">
        <v>0.1</v>
      </c>
      <c r="T55" s="1">
        <v>0.1</v>
      </c>
    </row>
    <row r="56" spans="10:20" x14ac:dyDescent="0.25">
      <c r="J56" s="7">
        <f t="shared" si="0"/>
        <v>45346</v>
      </c>
      <c r="K56" s="1">
        <v>0.1</v>
      </c>
      <c r="L56" s="1">
        <v>0.1</v>
      </c>
      <c r="M56" s="1">
        <v>0.1</v>
      </c>
      <c r="N56" s="1">
        <v>0.1</v>
      </c>
      <c r="O56" s="1">
        <v>0.1</v>
      </c>
      <c r="P56" s="1">
        <v>0.1</v>
      </c>
      <c r="Q56" s="1">
        <v>0.1</v>
      </c>
      <c r="R56" s="1">
        <v>0.1</v>
      </c>
      <c r="S56" s="1">
        <v>0.1</v>
      </c>
      <c r="T56" s="1">
        <v>0.1</v>
      </c>
    </row>
    <row r="57" spans="10:20" x14ac:dyDescent="0.25">
      <c r="J57" s="7">
        <f t="shared" si="0"/>
        <v>45347</v>
      </c>
      <c r="K57" s="1">
        <v>0.1</v>
      </c>
      <c r="L57" s="1">
        <v>0.1</v>
      </c>
      <c r="M57" s="1">
        <v>0.1</v>
      </c>
      <c r="N57" s="1">
        <v>0.1</v>
      </c>
      <c r="O57" s="1">
        <v>0.1</v>
      </c>
      <c r="P57" s="1">
        <v>0.1</v>
      </c>
      <c r="Q57" s="1">
        <v>0.1</v>
      </c>
      <c r="R57" s="1">
        <v>0.1</v>
      </c>
      <c r="S57" s="1">
        <v>0.1</v>
      </c>
      <c r="T57" s="1">
        <v>0.1</v>
      </c>
    </row>
    <row r="58" spans="10:20" x14ac:dyDescent="0.25">
      <c r="J58" s="7">
        <f t="shared" si="0"/>
        <v>45348</v>
      </c>
      <c r="K58" s="1">
        <v>0.1</v>
      </c>
      <c r="L58" s="1">
        <v>0.1</v>
      </c>
      <c r="M58" s="1">
        <v>0.1</v>
      </c>
      <c r="N58" s="1">
        <v>0.1</v>
      </c>
      <c r="O58" s="1">
        <v>0.1</v>
      </c>
      <c r="P58" s="1">
        <v>0.1</v>
      </c>
      <c r="Q58" s="1">
        <v>0.1</v>
      </c>
      <c r="R58" s="1">
        <v>0.1</v>
      </c>
      <c r="S58" s="1">
        <v>0.1</v>
      </c>
      <c r="T58" s="1">
        <v>0.1</v>
      </c>
    </row>
    <row r="59" spans="10:20" x14ac:dyDescent="0.25">
      <c r="J59" s="7">
        <f t="shared" si="0"/>
        <v>45349</v>
      </c>
      <c r="K59" s="1">
        <v>0.1</v>
      </c>
      <c r="L59" s="1">
        <v>0.1</v>
      </c>
      <c r="M59" s="1">
        <v>0.1</v>
      </c>
      <c r="N59" s="1">
        <v>0.1</v>
      </c>
      <c r="O59" s="1">
        <v>0.1</v>
      </c>
      <c r="P59" s="1">
        <v>0.1</v>
      </c>
      <c r="Q59" s="1">
        <v>0.1</v>
      </c>
      <c r="R59" s="1">
        <v>0.1</v>
      </c>
      <c r="S59" s="1">
        <v>0.1</v>
      </c>
      <c r="T59" s="1">
        <v>0.1</v>
      </c>
    </row>
    <row r="60" spans="10:20" x14ac:dyDescent="0.25">
      <c r="J60" s="7">
        <f t="shared" si="0"/>
        <v>45350</v>
      </c>
      <c r="K60" s="1">
        <v>0.1</v>
      </c>
      <c r="L60" s="1">
        <v>0.1</v>
      </c>
      <c r="M60" s="1">
        <v>0.1</v>
      </c>
      <c r="N60" s="1">
        <v>0.1</v>
      </c>
      <c r="O60" s="1">
        <v>0.1</v>
      </c>
      <c r="P60" s="1">
        <v>0.1</v>
      </c>
      <c r="Q60" s="1">
        <v>0.1</v>
      </c>
      <c r="R60" s="1">
        <v>0.1</v>
      </c>
      <c r="S60" s="1">
        <v>0.1</v>
      </c>
      <c r="T60" s="1">
        <v>0.1</v>
      </c>
    </row>
    <row r="61" spans="10:20" x14ac:dyDescent="0.25">
      <c r="J61" s="7">
        <f t="shared" si="0"/>
        <v>45351</v>
      </c>
      <c r="K61" s="1">
        <v>0.1</v>
      </c>
      <c r="L61" s="1">
        <v>0.1</v>
      </c>
      <c r="M61" s="1">
        <v>0.1</v>
      </c>
      <c r="N61" s="1">
        <v>0.1</v>
      </c>
      <c r="O61" s="1">
        <v>0.1</v>
      </c>
      <c r="P61" s="1">
        <v>0.1</v>
      </c>
      <c r="Q61" s="1">
        <v>0.1</v>
      </c>
      <c r="R61" s="1">
        <v>0.1</v>
      </c>
      <c r="S61" s="1">
        <v>0.1</v>
      </c>
      <c r="T61" s="1">
        <v>0.1</v>
      </c>
    </row>
    <row r="62" spans="10:20" x14ac:dyDescent="0.25">
      <c r="J62" s="7">
        <f t="shared" si="0"/>
        <v>45352</v>
      </c>
      <c r="K62" s="1">
        <v>0.1</v>
      </c>
      <c r="L62" s="1">
        <v>0.1</v>
      </c>
      <c r="M62" s="1">
        <v>0.1</v>
      </c>
      <c r="N62" s="1">
        <v>0.1</v>
      </c>
      <c r="O62" s="1">
        <v>0.1</v>
      </c>
      <c r="P62" s="1">
        <v>0.1</v>
      </c>
      <c r="Q62" s="1">
        <v>0.1</v>
      </c>
      <c r="R62" s="1">
        <v>0.1</v>
      </c>
      <c r="S62" s="1">
        <v>0.1</v>
      </c>
      <c r="T62" s="1">
        <v>0.1</v>
      </c>
    </row>
    <row r="63" spans="10:20" x14ac:dyDescent="0.25">
      <c r="J63" s="7">
        <f t="shared" si="0"/>
        <v>45353</v>
      </c>
      <c r="K63" s="1">
        <v>0.1</v>
      </c>
      <c r="L63" s="1">
        <v>0.1</v>
      </c>
      <c r="M63" s="1">
        <v>0.1</v>
      </c>
      <c r="N63" s="1">
        <v>0.1</v>
      </c>
      <c r="O63" s="1">
        <v>0.1</v>
      </c>
      <c r="P63" s="1">
        <v>0.1</v>
      </c>
      <c r="Q63" s="1">
        <v>0.1</v>
      </c>
      <c r="R63" s="1">
        <v>0.1</v>
      </c>
      <c r="S63" s="1">
        <v>0.1</v>
      </c>
      <c r="T63" s="1">
        <v>0.1</v>
      </c>
    </row>
    <row r="64" spans="10:20" x14ac:dyDescent="0.25">
      <c r="J64" s="7">
        <f t="shared" si="0"/>
        <v>45354</v>
      </c>
      <c r="K64" s="1">
        <v>0.1</v>
      </c>
      <c r="L64" s="1">
        <v>0.1</v>
      </c>
      <c r="M64" s="1">
        <v>0.1</v>
      </c>
      <c r="N64" s="1">
        <v>0.1</v>
      </c>
      <c r="O64" s="1">
        <v>0.1</v>
      </c>
      <c r="P64" s="1">
        <v>0.1</v>
      </c>
      <c r="Q64" s="1">
        <v>0.1</v>
      </c>
      <c r="R64" s="1">
        <v>0.1</v>
      </c>
      <c r="S64" s="1">
        <v>0.1</v>
      </c>
      <c r="T64" s="1">
        <v>0.1</v>
      </c>
    </row>
    <row r="65" spans="10:20" x14ac:dyDescent="0.25">
      <c r="J65" s="7">
        <f t="shared" si="0"/>
        <v>45355</v>
      </c>
      <c r="K65" s="1">
        <v>0.1</v>
      </c>
      <c r="L65" s="1">
        <v>0.1</v>
      </c>
      <c r="M65" s="1">
        <v>0.1</v>
      </c>
      <c r="N65" s="1">
        <v>0.1</v>
      </c>
      <c r="O65" s="1">
        <v>0.1</v>
      </c>
      <c r="P65" s="1">
        <v>0.1</v>
      </c>
      <c r="Q65" s="1">
        <v>0.1</v>
      </c>
      <c r="R65" s="1">
        <v>0.1</v>
      </c>
      <c r="S65" s="1">
        <v>0.1</v>
      </c>
      <c r="T65" s="1">
        <v>0.1</v>
      </c>
    </row>
    <row r="66" spans="10:20" x14ac:dyDescent="0.25">
      <c r="J66" s="7">
        <f t="shared" si="0"/>
        <v>45356</v>
      </c>
      <c r="K66" s="1">
        <v>0.1</v>
      </c>
      <c r="L66" s="1">
        <v>0.1</v>
      </c>
      <c r="M66" s="1">
        <v>0.1</v>
      </c>
      <c r="N66" s="1">
        <v>0.1</v>
      </c>
      <c r="O66" s="1">
        <v>0.1</v>
      </c>
      <c r="P66" s="1">
        <v>0.1</v>
      </c>
      <c r="Q66" s="1">
        <v>0.1</v>
      </c>
      <c r="R66" s="1">
        <v>0.1</v>
      </c>
      <c r="S66" s="1">
        <v>0.1</v>
      </c>
      <c r="T66" s="1">
        <v>0.1</v>
      </c>
    </row>
    <row r="67" spans="10:20" x14ac:dyDescent="0.25">
      <c r="J67" s="7">
        <f t="shared" si="0"/>
        <v>45357</v>
      </c>
      <c r="K67" s="1">
        <v>0.1</v>
      </c>
      <c r="L67" s="1">
        <v>0.1</v>
      </c>
      <c r="M67" s="1">
        <v>0.1</v>
      </c>
      <c r="N67" s="1">
        <v>0.1</v>
      </c>
      <c r="O67" s="1">
        <v>0.1</v>
      </c>
      <c r="P67" s="1">
        <v>0.1</v>
      </c>
      <c r="Q67" s="1">
        <v>0.1</v>
      </c>
      <c r="R67" s="1">
        <v>0.1</v>
      </c>
      <c r="S67" s="1">
        <v>0.1</v>
      </c>
      <c r="T67" s="1">
        <v>0.1</v>
      </c>
    </row>
    <row r="68" spans="10:20" x14ac:dyDescent="0.25">
      <c r="J68" s="7">
        <f t="shared" si="0"/>
        <v>45358</v>
      </c>
      <c r="K68" s="1">
        <v>0.1</v>
      </c>
      <c r="L68" s="1">
        <v>0.1</v>
      </c>
      <c r="M68" s="1">
        <v>0.1</v>
      </c>
      <c r="N68" s="1">
        <v>0.1</v>
      </c>
      <c r="O68" s="1">
        <v>0.1</v>
      </c>
      <c r="P68" s="1">
        <v>0.1</v>
      </c>
      <c r="Q68" s="1">
        <v>0.1</v>
      </c>
      <c r="R68" s="1">
        <v>0.1</v>
      </c>
      <c r="S68" s="1">
        <v>0.1</v>
      </c>
      <c r="T68" s="1">
        <v>0.1</v>
      </c>
    </row>
    <row r="69" spans="10:20" x14ac:dyDescent="0.25">
      <c r="J69" s="7">
        <f t="shared" ref="J69:J132" si="1">J68+1</f>
        <v>45359</v>
      </c>
      <c r="K69" s="1">
        <v>0.1</v>
      </c>
      <c r="L69" s="1">
        <v>0.1</v>
      </c>
      <c r="M69" s="1">
        <v>0.1</v>
      </c>
      <c r="N69" s="1">
        <v>0.1</v>
      </c>
      <c r="O69" s="1">
        <v>0.1</v>
      </c>
      <c r="P69" s="1">
        <v>0.1</v>
      </c>
      <c r="Q69" s="1">
        <v>0.1</v>
      </c>
      <c r="R69" s="1">
        <v>0.1</v>
      </c>
      <c r="S69" s="1">
        <v>0.1</v>
      </c>
      <c r="T69" s="1">
        <v>0.1</v>
      </c>
    </row>
    <row r="70" spans="10:20" x14ac:dyDescent="0.25">
      <c r="J70" s="7">
        <f t="shared" si="1"/>
        <v>45360</v>
      </c>
      <c r="K70" s="1">
        <v>0.1</v>
      </c>
      <c r="L70" s="1">
        <v>0.1</v>
      </c>
      <c r="M70" s="1">
        <v>0.1</v>
      </c>
      <c r="N70" s="1">
        <v>0.1</v>
      </c>
      <c r="O70" s="1">
        <v>0.1</v>
      </c>
      <c r="P70" s="1">
        <v>0.1</v>
      </c>
      <c r="Q70" s="1">
        <v>0.1</v>
      </c>
      <c r="R70" s="1">
        <v>0.1</v>
      </c>
      <c r="S70" s="1">
        <v>0.1</v>
      </c>
      <c r="T70" s="1">
        <v>0.1</v>
      </c>
    </row>
    <row r="71" spans="10:20" x14ac:dyDescent="0.25">
      <c r="J71" s="7">
        <f t="shared" si="1"/>
        <v>45361</v>
      </c>
      <c r="K71" s="1">
        <v>0.1</v>
      </c>
      <c r="L71" s="1">
        <v>0.1</v>
      </c>
      <c r="M71" s="1">
        <v>0.1</v>
      </c>
      <c r="N71" s="1">
        <v>0.1</v>
      </c>
      <c r="O71" s="1">
        <v>0.1</v>
      </c>
      <c r="P71" s="1">
        <v>0.1</v>
      </c>
      <c r="Q71" s="1">
        <v>0.1</v>
      </c>
      <c r="R71" s="1">
        <v>0.1</v>
      </c>
      <c r="S71" s="1">
        <v>0.1</v>
      </c>
      <c r="T71" s="1">
        <v>0.1</v>
      </c>
    </row>
    <row r="72" spans="10:20" x14ac:dyDescent="0.25">
      <c r="J72" s="7">
        <f t="shared" si="1"/>
        <v>45362</v>
      </c>
      <c r="K72" s="1">
        <v>0.1</v>
      </c>
      <c r="L72" s="1">
        <v>0.1</v>
      </c>
      <c r="M72" s="1">
        <v>0.1</v>
      </c>
      <c r="N72" s="1">
        <v>0.1</v>
      </c>
      <c r="O72" s="1">
        <v>0.1</v>
      </c>
      <c r="P72" s="1">
        <v>0.1</v>
      </c>
      <c r="Q72" s="1">
        <v>0.1</v>
      </c>
      <c r="R72" s="1">
        <v>0.1</v>
      </c>
      <c r="S72" s="1">
        <v>0.1</v>
      </c>
      <c r="T72" s="1">
        <v>0.1</v>
      </c>
    </row>
    <row r="73" spans="10:20" x14ac:dyDescent="0.25">
      <c r="J73" s="7">
        <f t="shared" si="1"/>
        <v>45363</v>
      </c>
      <c r="K73" s="1">
        <v>0.1</v>
      </c>
      <c r="L73" s="1">
        <v>0.1</v>
      </c>
      <c r="M73" s="1">
        <v>0.1</v>
      </c>
      <c r="N73" s="1">
        <v>0.1</v>
      </c>
      <c r="O73" s="1">
        <v>0.1</v>
      </c>
      <c r="P73" s="1">
        <v>0.1</v>
      </c>
      <c r="Q73" s="1">
        <v>0.1</v>
      </c>
      <c r="R73" s="1">
        <v>0.1</v>
      </c>
      <c r="S73" s="1">
        <v>0.1</v>
      </c>
      <c r="T73" s="1">
        <v>0.1</v>
      </c>
    </row>
    <row r="74" spans="10:20" x14ac:dyDescent="0.25">
      <c r="J74" s="7">
        <f t="shared" si="1"/>
        <v>45364</v>
      </c>
      <c r="K74" s="1">
        <v>0.1</v>
      </c>
      <c r="L74" s="1">
        <v>0.1</v>
      </c>
      <c r="M74" s="1">
        <v>0.1</v>
      </c>
      <c r="N74" s="1">
        <v>0.1</v>
      </c>
      <c r="O74" s="1">
        <v>0.1</v>
      </c>
      <c r="P74" s="1">
        <v>0.1</v>
      </c>
      <c r="Q74" s="1">
        <v>0.1</v>
      </c>
      <c r="R74" s="1">
        <v>0.1</v>
      </c>
      <c r="S74" s="1">
        <v>0.1</v>
      </c>
      <c r="T74" s="1">
        <v>0.1</v>
      </c>
    </row>
    <row r="75" spans="10:20" x14ac:dyDescent="0.25">
      <c r="J75" s="7">
        <f t="shared" si="1"/>
        <v>45365</v>
      </c>
      <c r="K75" s="1">
        <v>0.1</v>
      </c>
      <c r="L75" s="1">
        <v>0.1</v>
      </c>
      <c r="M75" s="1">
        <v>0.1</v>
      </c>
      <c r="N75" s="1">
        <v>0.1</v>
      </c>
      <c r="O75" s="1">
        <v>0.1</v>
      </c>
      <c r="P75" s="1">
        <v>0.1</v>
      </c>
      <c r="Q75" s="1">
        <v>0.1</v>
      </c>
      <c r="R75" s="1">
        <v>0.1</v>
      </c>
      <c r="S75" s="1">
        <v>0.1</v>
      </c>
      <c r="T75" s="1">
        <v>0.1</v>
      </c>
    </row>
    <row r="76" spans="10:20" x14ac:dyDescent="0.25">
      <c r="J76" s="7">
        <f t="shared" si="1"/>
        <v>45366</v>
      </c>
      <c r="K76" s="1">
        <v>0.1</v>
      </c>
      <c r="L76" s="1">
        <v>0.1</v>
      </c>
      <c r="M76" s="1">
        <v>0.1</v>
      </c>
      <c r="N76" s="1">
        <v>0.1</v>
      </c>
      <c r="O76" s="1">
        <v>0.1</v>
      </c>
      <c r="P76" s="1">
        <v>0.1</v>
      </c>
      <c r="Q76" s="1">
        <v>0.1</v>
      </c>
      <c r="R76" s="1">
        <v>0.1</v>
      </c>
      <c r="S76" s="1">
        <v>0.1</v>
      </c>
      <c r="T76" s="1">
        <v>0.1</v>
      </c>
    </row>
    <row r="77" spans="10:20" x14ac:dyDescent="0.25">
      <c r="J77" s="7">
        <f t="shared" si="1"/>
        <v>45367</v>
      </c>
      <c r="K77" s="1">
        <v>0.1</v>
      </c>
      <c r="L77" s="1">
        <v>0.1</v>
      </c>
      <c r="M77" s="1">
        <v>0.1</v>
      </c>
      <c r="N77" s="1">
        <v>0.1</v>
      </c>
      <c r="O77" s="1">
        <v>0.1</v>
      </c>
      <c r="P77" s="1">
        <v>0.1</v>
      </c>
      <c r="Q77" s="1">
        <v>0.1</v>
      </c>
      <c r="R77" s="1">
        <v>0.1</v>
      </c>
      <c r="S77" s="1">
        <v>0.1</v>
      </c>
      <c r="T77" s="1">
        <v>0.1</v>
      </c>
    </row>
    <row r="78" spans="10:20" x14ac:dyDescent="0.25">
      <c r="J78" s="7">
        <f t="shared" si="1"/>
        <v>45368</v>
      </c>
      <c r="K78" s="1">
        <v>0.1</v>
      </c>
      <c r="L78" s="1">
        <v>0.1</v>
      </c>
      <c r="M78" s="1">
        <v>0.1</v>
      </c>
      <c r="N78" s="1">
        <v>0.1</v>
      </c>
      <c r="O78" s="1">
        <v>0.1</v>
      </c>
      <c r="P78" s="1">
        <v>0.1</v>
      </c>
      <c r="Q78" s="1">
        <v>0.1</v>
      </c>
      <c r="R78" s="1">
        <v>0.1</v>
      </c>
      <c r="S78" s="1">
        <v>0.1</v>
      </c>
      <c r="T78" s="1">
        <v>0.1</v>
      </c>
    </row>
    <row r="79" spans="10:20" x14ac:dyDescent="0.25">
      <c r="J79" s="7">
        <f t="shared" si="1"/>
        <v>45369</v>
      </c>
      <c r="K79" s="1">
        <v>0.1</v>
      </c>
      <c r="L79" s="1">
        <v>0.1</v>
      </c>
      <c r="M79" s="1">
        <v>0.1</v>
      </c>
      <c r="N79" s="1">
        <v>0.1</v>
      </c>
      <c r="O79" s="1">
        <v>0.1</v>
      </c>
      <c r="P79" s="1">
        <v>0.1</v>
      </c>
      <c r="Q79" s="1">
        <v>0.1</v>
      </c>
      <c r="R79" s="1">
        <v>0.1</v>
      </c>
      <c r="S79" s="1">
        <v>0.1</v>
      </c>
      <c r="T79" s="1">
        <v>0.1</v>
      </c>
    </row>
    <row r="80" spans="10:20" x14ac:dyDescent="0.25">
      <c r="J80" s="7">
        <f t="shared" si="1"/>
        <v>45370</v>
      </c>
      <c r="K80" s="1">
        <v>0.1</v>
      </c>
      <c r="L80" s="1">
        <v>0.1</v>
      </c>
      <c r="M80" s="1">
        <v>0.1</v>
      </c>
      <c r="N80" s="1">
        <v>0.1</v>
      </c>
      <c r="O80" s="1">
        <v>0.1</v>
      </c>
      <c r="P80" s="1">
        <v>0.1</v>
      </c>
      <c r="Q80" s="1">
        <v>0.1</v>
      </c>
      <c r="R80" s="1">
        <v>0.1</v>
      </c>
      <c r="S80" s="1">
        <v>0.1</v>
      </c>
      <c r="T80" s="1">
        <v>0.1</v>
      </c>
    </row>
    <row r="81" spans="10:20" x14ac:dyDescent="0.25">
      <c r="J81" s="7">
        <f t="shared" si="1"/>
        <v>45371</v>
      </c>
      <c r="K81" s="1">
        <v>0.1</v>
      </c>
      <c r="L81" s="1">
        <v>0.1</v>
      </c>
      <c r="M81" s="1">
        <v>0.1</v>
      </c>
      <c r="N81" s="1">
        <v>0.1</v>
      </c>
      <c r="O81" s="1">
        <v>0.1</v>
      </c>
      <c r="P81" s="1">
        <v>0.1</v>
      </c>
      <c r="Q81" s="1">
        <v>0.1</v>
      </c>
      <c r="R81" s="1">
        <v>0.1</v>
      </c>
      <c r="S81" s="1">
        <v>0.1</v>
      </c>
      <c r="T81" s="1">
        <v>0.1</v>
      </c>
    </row>
    <row r="82" spans="10:20" x14ac:dyDescent="0.25">
      <c r="J82" s="7">
        <f t="shared" si="1"/>
        <v>45372</v>
      </c>
      <c r="K82" s="1">
        <v>0.1</v>
      </c>
      <c r="L82" s="1">
        <v>0.1</v>
      </c>
      <c r="M82" s="1">
        <v>0.1</v>
      </c>
      <c r="N82" s="1">
        <v>0.1</v>
      </c>
      <c r="O82" s="1">
        <v>0.1</v>
      </c>
      <c r="P82" s="1">
        <v>0.1</v>
      </c>
      <c r="Q82" s="1">
        <v>0.1</v>
      </c>
      <c r="R82" s="1">
        <v>0.1</v>
      </c>
      <c r="S82" s="1">
        <v>0.1</v>
      </c>
      <c r="T82" s="1">
        <v>0.1</v>
      </c>
    </row>
    <row r="83" spans="10:20" x14ac:dyDescent="0.25">
      <c r="J83" s="7">
        <f t="shared" si="1"/>
        <v>45373</v>
      </c>
      <c r="K83" s="1">
        <v>0.1</v>
      </c>
      <c r="L83" s="1">
        <v>0.1</v>
      </c>
      <c r="M83" s="1">
        <v>0.1</v>
      </c>
      <c r="N83" s="1">
        <v>0.1</v>
      </c>
      <c r="O83" s="1">
        <v>0.1</v>
      </c>
      <c r="P83" s="1">
        <v>0.1</v>
      </c>
      <c r="Q83" s="1">
        <v>0.1</v>
      </c>
      <c r="R83" s="1">
        <v>0.1</v>
      </c>
      <c r="S83" s="1">
        <v>0.1</v>
      </c>
      <c r="T83" s="1">
        <v>0.1</v>
      </c>
    </row>
    <row r="84" spans="10:20" x14ac:dyDescent="0.25">
      <c r="J84" s="7">
        <f t="shared" si="1"/>
        <v>45374</v>
      </c>
      <c r="K84" s="1">
        <v>0.1</v>
      </c>
      <c r="L84" s="1">
        <v>0.1</v>
      </c>
      <c r="M84" s="1">
        <v>0.1</v>
      </c>
      <c r="N84" s="1">
        <v>0.1</v>
      </c>
      <c r="O84" s="1">
        <v>0.1</v>
      </c>
      <c r="P84" s="1">
        <v>0.1</v>
      </c>
      <c r="Q84" s="1">
        <v>0.1</v>
      </c>
      <c r="R84" s="1">
        <v>0.1</v>
      </c>
      <c r="S84" s="1">
        <v>0.1</v>
      </c>
      <c r="T84" s="1">
        <v>0.1</v>
      </c>
    </row>
    <row r="85" spans="10:20" x14ac:dyDescent="0.25">
      <c r="J85" s="7">
        <f t="shared" si="1"/>
        <v>45375</v>
      </c>
      <c r="K85" s="1">
        <v>0.1</v>
      </c>
      <c r="L85" s="1">
        <v>0.1</v>
      </c>
      <c r="M85" s="1">
        <v>0.1</v>
      </c>
      <c r="N85" s="1">
        <v>0.1</v>
      </c>
      <c r="O85" s="1">
        <v>0.1</v>
      </c>
      <c r="P85" s="1">
        <v>0.1</v>
      </c>
      <c r="Q85" s="1">
        <v>0.1</v>
      </c>
      <c r="R85" s="1">
        <v>0.1</v>
      </c>
      <c r="S85" s="1">
        <v>0.1</v>
      </c>
      <c r="T85" s="1">
        <v>0.1</v>
      </c>
    </row>
    <row r="86" spans="10:20" x14ac:dyDescent="0.25">
      <c r="J86" s="7">
        <f t="shared" si="1"/>
        <v>45376</v>
      </c>
      <c r="K86" s="1">
        <v>0.1</v>
      </c>
      <c r="L86" s="1">
        <v>0.1</v>
      </c>
      <c r="M86" s="1">
        <v>0.1</v>
      </c>
      <c r="N86" s="1">
        <v>0.1</v>
      </c>
      <c r="O86" s="1">
        <v>0.1</v>
      </c>
      <c r="P86" s="1">
        <v>0.1</v>
      </c>
      <c r="Q86" s="1">
        <v>0.1</v>
      </c>
      <c r="R86" s="1">
        <v>0.1</v>
      </c>
      <c r="S86" s="1">
        <v>0.1</v>
      </c>
      <c r="T86" s="1">
        <v>0.1</v>
      </c>
    </row>
    <row r="87" spans="10:20" x14ac:dyDescent="0.25">
      <c r="J87" s="7">
        <f t="shared" si="1"/>
        <v>45377</v>
      </c>
      <c r="K87" s="1">
        <v>0.1</v>
      </c>
      <c r="L87" s="1">
        <v>0.1</v>
      </c>
      <c r="M87" s="1">
        <v>0.1</v>
      </c>
      <c r="N87" s="1">
        <v>0.1</v>
      </c>
      <c r="O87" s="1">
        <v>0.1</v>
      </c>
      <c r="P87" s="1">
        <v>0.1</v>
      </c>
      <c r="Q87" s="1">
        <v>0.1</v>
      </c>
      <c r="R87" s="1">
        <v>0.1</v>
      </c>
      <c r="S87" s="1">
        <v>0.1</v>
      </c>
      <c r="T87" s="1">
        <v>0.1</v>
      </c>
    </row>
    <row r="88" spans="10:20" x14ac:dyDescent="0.25">
      <c r="J88" s="7">
        <f t="shared" si="1"/>
        <v>45378</v>
      </c>
      <c r="K88" s="1">
        <v>0.1</v>
      </c>
      <c r="L88" s="1">
        <v>0.1</v>
      </c>
      <c r="M88" s="1">
        <v>0.1</v>
      </c>
      <c r="N88" s="1">
        <v>0.1</v>
      </c>
      <c r="O88" s="1">
        <v>0.1</v>
      </c>
      <c r="P88" s="1">
        <v>0.1</v>
      </c>
      <c r="Q88" s="1">
        <v>0.1</v>
      </c>
      <c r="R88" s="1">
        <v>0.1</v>
      </c>
      <c r="S88" s="1">
        <v>0.1</v>
      </c>
      <c r="T88" s="1">
        <v>0.1</v>
      </c>
    </row>
    <row r="89" spans="10:20" x14ac:dyDescent="0.25">
      <c r="J89" s="7">
        <f t="shared" si="1"/>
        <v>45379</v>
      </c>
      <c r="K89" s="1">
        <v>0.1</v>
      </c>
      <c r="L89" s="1">
        <v>0.1</v>
      </c>
      <c r="M89" s="1">
        <v>0.1</v>
      </c>
      <c r="N89" s="1">
        <v>0.1</v>
      </c>
      <c r="O89" s="1">
        <v>0.1</v>
      </c>
      <c r="P89" s="1">
        <v>0.1</v>
      </c>
      <c r="Q89" s="1">
        <v>0.1</v>
      </c>
      <c r="R89" s="1">
        <v>0.1</v>
      </c>
      <c r="S89" s="1">
        <v>0.1</v>
      </c>
      <c r="T89" s="1">
        <v>0.1</v>
      </c>
    </row>
    <row r="90" spans="10:20" x14ac:dyDescent="0.25">
      <c r="J90" s="7">
        <f t="shared" si="1"/>
        <v>45380</v>
      </c>
      <c r="K90" s="1">
        <v>0.1</v>
      </c>
      <c r="L90" s="1">
        <v>0.1</v>
      </c>
      <c r="M90" s="1">
        <v>0.1</v>
      </c>
      <c r="N90" s="1">
        <v>0.1</v>
      </c>
      <c r="O90" s="1">
        <v>0.1</v>
      </c>
      <c r="P90" s="1">
        <v>0.1</v>
      </c>
      <c r="Q90" s="1">
        <v>0.1</v>
      </c>
      <c r="R90" s="1">
        <v>0.1</v>
      </c>
      <c r="S90" s="1">
        <v>0.1</v>
      </c>
      <c r="T90" s="1">
        <v>0.1</v>
      </c>
    </row>
    <row r="91" spans="10:20" x14ac:dyDescent="0.25">
      <c r="J91" s="7">
        <f t="shared" si="1"/>
        <v>45381</v>
      </c>
      <c r="K91" s="1">
        <v>0.1</v>
      </c>
      <c r="L91" s="1">
        <v>0.1</v>
      </c>
      <c r="M91" s="1">
        <v>0.1</v>
      </c>
      <c r="N91" s="1">
        <v>0.1</v>
      </c>
      <c r="O91" s="1">
        <v>0.1</v>
      </c>
      <c r="P91" s="1">
        <v>0.1</v>
      </c>
      <c r="Q91" s="1">
        <v>0.1</v>
      </c>
      <c r="R91" s="1">
        <v>0.1</v>
      </c>
      <c r="S91" s="1">
        <v>0.1</v>
      </c>
      <c r="T91" s="1">
        <v>0.1</v>
      </c>
    </row>
    <row r="92" spans="10:20" x14ac:dyDescent="0.25">
      <c r="J92" s="7">
        <f t="shared" si="1"/>
        <v>45382</v>
      </c>
      <c r="K92" s="1">
        <v>0.1</v>
      </c>
      <c r="L92" s="1">
        <v>0.1</v>
      </c>
      <c r="M92" s="1">
        <v>0.1</v>
      </c>
      <c r="N92" s="1">
        <v>0.1</v>
      </c>
      <c r="O92" s="1">
        <v>0.1</v>
      </c>
      <c r="P92" s="1">
        <v>0.1</v>
      </c>
      <c r="Q92" s="1">
        <v>0.1</v>
      </c>
      <c r="R92" s="1">
        <v>0.1</v>
      </c>
      <c r="S92" s="1">
        <v>0.1</v>
      </c>
      <c r="T92" s="1">
        <v>0.1</v>
      </c>
    </row>
    <row r="93" spans="10:20" x14ac:dyDescent="0.25">
      <c r="J93" s="7">
        <f t="shared" si="1"/>
        <v>45383</v>
      </c>
      <c r="K93" s="1">
        <v>0.1</v>
      </c>
      <c r="L93" s="1">
        <v>0.1</v>
      </c>
      <c r="M93" s="1">
        <v>0.1</v>
      </c>
      <c r="N93" s="1">
        <v>0.1</v>
      </c>
      <c r="O93" s="1">
        <v>0.1</v>
      </c>
      <c r="P93" s="1">
        <v>0.1</v>
      </c>
      <c r="Q93" s="1">
        <v>0.1</v>
      </c>
      <c r="R93" s="1">
        <v>0.1</v>
      </c>
      <c r="S93" s="1">
        <v>0.1</v>
      </c>
      <c r="T93" s="1">
        <v>0.1</v>
      </c>
    </row>
    <row r="94" spans="10:20" x14ac:dyDescent="0.25">
      <c r="J94" s="7">
        <f t="shared" si="1"/>
        <v>45384</v>
      </c>
      <c r="K94" s="1">
        <v>0.1</v>
      </c>
      <c r="L94" s="1">
        <v>0.1</v>
      </c>
      <c r="M94" s="1">
        <v>0.1</v>
      </c>
      <c r="N94" s="1">
        <v>0.1</v>
      </c>
      <c r="O94" s="1">
        <v>0.1</v>
      </c>
      <c r="P94" s="1">
        <v>0.1</v>
      </c>
      <c r="Q94" s="1">
        <v>0.1</v>
      </c>
      <c r="R94" s="1">
        <v>0.1</v>
      </c>
      <c r="S94" s="1">
        <v>0.1</v>
      </c>
      <c r="T94" s="1">
        <v>0.1</v>
      </c>
    </row>
    <row r="95" spans="10:20" x14ac:dyDescent="0.25">
      <c r="J95" s="7">
        <f t="shared" si="1"/>
        <v>45385</v>
      </c>
      <c r="K95" s="1">
        <v>0.1</v>
      </c>
      <c r="L95" s="1">
        <v>0.1</v>
      </c>
      <c r="M95" s="1">
        <v>0.1</v>
      </c>
      <c r="N95" s="1">
        <v>0.1</v>
      </c>
      <c r="O95" s="1">
        <v>0.1</v>
      </c>
      <c r="P95" s="1">
        <v>0.1</v>
      </c>
      <c r="Q95" s="1">
        <v>0.1</v>
      </c>
      <c r="R95" s="1">
        <v>0.1</v>
      </c>
      <c r="S95" s="1">
        <v>0.1</v>
      </c>
      <c r="T95" s="1">
        <v>0.1</v>
      </c>
    </row>
    <row r="96" spans="10:20" x14ac:dyDescent="0.25">
      <c r="J96" s="7">
        <f t="shared" si="1"/>
        <v>45386</v>
      </c>
      <c r="K96" s="1">
        <v>0.1</v>
      </c>
      <c r="L96" s="1">
        <v>0.1</v>
      </c>
      <c r="M96" s="1">
        <v>0.1</v>
      </c>
      <c r="N96" s="1">
        <v>0.1</v>
      </c>
      <c r="O96" s="1">
        <v>0.1</v>
      </c>
      <c r="P96" s="1">
        <v>0.1</v>
      </c>
      <c r="Q96" s="1">
        <v>0.1</v>
      </c>
      <c r="R96" s="1">
        <v>0.1</v>
      </c>
      <c r="S96" s="1">
        <v>0.1</v>
      </c>
      <c r="T96" s="1">
        <v>0.1</v>
      </c>
    </row>
    <row r="97" spans="10:20" x14ac:dyDescent="0.25">
      <c r="J97" s="7">
        <f t="shared" si="1"/>
        <v>45387</v>
      </c>
      <c r="K97" s="1">
        <v>0.1</v>
      </c>
      <c r="L97" s="1">
        <v>0.1</v>
      </c>
      <c r="M97" s="1">
        <v>0.1</v>
      </c>
      <c r="N97" s="1">
        <v>0.1</v>
      </c>
      <c r="O97" s="1">
        <v>0.1</v>
      </c>
      <c r="P97" s="1">
        <v>0.1</v>
      </c>
      <c r="Q97" s="1">
        <v>0.1</v>
      </c>
      <c r="R97" s="1">
        <v>0.1</v>
      </c>
      <c r="S97" s="1">
        <v>0.1</v>
      </c>
      <c r="T97" s="1">
        <v>0.1</v>
      </c>
    </row>
    <row r="98" spans="10:20" x14ac:dyDescent="0.25">
      <c r="J98" s="7">
        <f t="shared" si="1"/>
        <v>45388</v>
      </c>
      <c r="K98" s="1">
        <v>0.1</v>
      </c>
      <c r="L98" s="1">
        <v>0.1</v>
      </c>
      <c r="M98" s="1">
        <v>0.1</v>
      </c>
      <c r="N98" s="1">
        <v>0.1</v>
      </c>
      <c r="O98" s="1">
        <v>0.1</v>
      </c>
      <c r="P98" s="1">
        <v>0.1</v>
      </c>
      <c r="Q98" s="1">
        <v>0.1</v>
      </c>
      <c r="R98" s="1">
        <v>0.1</v>
      </c>
      <c r="S98" s="1">
        <v>0.1</v>
      </c>
      <c r="T98" s="1">
        <v>0.1</v>
      </c>
    </row>
    <row r="99" spans="10:20" x14ac:dyDescent="0.25">
      <c r="J99" s="7">
        <f t="shared" si="1"/>
        <v>45389</v>
      </c>
      <c r="K99" s="1">
        <v>0.1</v>
      </c>
      <c r="L99" s="1">
        <v>0.1</v>
      </c>
      <c r="M99" s="1">
        <v>0.1</v>
      </c>
      <c r="N99" s="1">
        <v>0.1</v>
      </c>
      <c r="O99" s="1">
        <v>0.1</v>
      </c>
      <c r="P99" s="1">
        <v>0.1</v>
      </c>
      <c r="Q99" s="1">
        <v>0.1</v>
      </c>
      <c r="R99" s="1">
        <v>0.1</v>
      </c>
      <c r="S99" s="1">
        <v>0.1</v>
      </c>
      <c r="T99" s="1">
        <v>0.1</v>
      </c>
    </row>
    <row r="100" spans="10:20" x14ac:dyDescent="0.25">
      <c r="J100" s="7">
        <f t="shared" si="1"/>
        <v>45390</v>
      </c>
      <c r="K100" s="1">
        <v>0.1</v>
      </c>
      <c r="L100" s="1">
        <v>0.1</v>
      </c>
      <c r="M100" s="1">
        <v>0.1</v>
      </c>
      <c r="N100" s="1">
        <v>0.1</v>
      </c>
      <c r="O100" s="1">
        <v>0.1</v>
      </c>
      <c r="P100" s="1">
        <v>0.1</v>
      </c>
      <c r="Q100" s="1">
        <v>0.1</v>
      </c>
      <c r="R100" s="1">
        <v>0.1</v>
      </c>
      <c r="S100" s="1">
        <v>0.1</v>
      </c>
      <c r="T100" s="1">
        <v>0.1</v>
      </c>
    </row>
    <row r="101" spans="10:20" x14ac:dyDescent="0.25">
      <c r="J101" s="7">
        <f t="shared" si="1"/>
        <v>45391</v>
      </c>
      <c r="K101" s="1">
        <v>0.1</v>
      </c>
      <c r="L101" s="1">
        <v>0.1</v>
      </c>
      <c r="M101" s="1">
        <v>0.1</v>
      </c>
      <c r="N101" s="1">
        <v>0.1</v>
      </c>
      <c r="O101" s="1">
        <v>0.1</v>
      </c>
      <c r="P101" s="1">
        <v>0.1</v>
      </c>
      <c r="Q101" s="1">
        <v>0.1</v>
      </c>
      <c r="R101" s="1">
        <v>0.1</v>
      </c>
      <c r="S101" s="1">
        <v>0.1</v>
      </c>
      <c r="T101" s="1">
        <v>0.1</v>
      </c>
    </row>
    <row r="102" spans="10:20" x14ac:dyDescent="0.25">
      <c r="J102" s="7">
        <f t="shared" si="1"/>
        <v>45392</v>
      </c>
      <c r="K102" s="1">
        <v>0.1</v>
      </c>
      <c r="L102" s="1">
        <v>0.1</v>
      </c>
      <c r="M102" s="1">
        <v>0.1</v>
      </c>
      <c r="N102" s="1">
        <v>0.1</v>
      </c>
      <c r="O102" s="1">
        <v>0.1</v>
      </c>
      <c r="P102" s="1">
        <v>0.1</v>
      </c>
      <c r="Q102" s="1">
        <v>0.1</v>
      </c>
      <c r="R102" s="1">
        <v>0.1</v>
      </c>
      <c r="S102" s="1">
        <v>0.1</v>
      </c>
      <c r="T102" s="1">
        <v>0.1</v>
      </c>
    </row>
    <row r="103" spans="10:20" x14ac:dyDescent="0.25">
      <c r="J103" s="7">
        <f t="shared" si="1"/>
        <v>45393</v>
      </c>
      <c r="K103" s="1">
        <v>0.1</v>
      </c>
      <c r="L103" s="1">
        <v>0.1</v>
      </c>
      <c r="M103" s="1">
        <v>0.1</v>
      </c>
      <c r="N103" s="1">
        <v>0.1</v>
      </c>
      <c r="O103" s="1">
        <v>0.1</v>
      </c>
      <c r="P103" s="1">
        <v>0.1</v>
      </c>
      <c r="Q103" s="1">
        <v>0.1</v>
      </c>
      <c r="R103" s="1">
        <v>0.1</v>
      </c>
      <c r="S103" s="1">
        <v>0.1</v>
      </c>
      <c r="T103" s="1">
        <v>0.1</v>
      </c>
    </row>
    <row r="104" spans="10:20" x14ac:dyDescent="0.25">
      <c r="J104" s="7">
        <f t="shared" si="1"/>
        <v>45394</v>
      </c>
      <c r="K104" s="1">
        <v>0.1</v>
      </c>
      <c r="L104" s="1">
        <v>0.1</v>
      </c>
      <c r="M104" s="1">
        <v>0.1</v>
      </c>
      <c r="N104" s="1">
        <v>0.1</v>
      </c>
      <c r="O104" s="1">
        <v>0.1</v>
      </c>
      <c r="P104" s="1">
        <v>0.1</v>
      </c>
      <c r="Q104" s="1">
        <v>0.1</v>
      </c>
      <c r="R104" s="1">
        <v>0.1</v>
      </c>
      <c r="S104" s="1">
        <v>0.1</v>
      </c>
      <c r="T104" s="1">
        <v>0.1</v>
      </c>
    </row>
    <row r="105" spans="10:20" x14ac:dyDescent="0.25">
      <c r="J105" s="7">
        <f t="shared" si="1"/>
        <v>45395</v>
      </c>
      <c r="K105" s="1">
        <v>0.1</v>
      </c>
      <c r="L105" s="1">
        <v>0.1</v>
      </c>
      <c r="M105" s="1">
        <v>0.1</v>
      </c>
      <c r="N105" s="1">
        <v>0.1</v>
      </c>
      <c r="O105" s="1">
        <v>0.1</v>
      </c>
      <c r="P105" s="1">
        <v>0.1</v>
      </c>
      <c r="Q105" s="1">
        <v>0.1</v>
      </c>
      <c r="R105" s="1">
        <v>0.1</v>
      </c>
      <c r="S105" s="1">
        <v>0.1</v>
      </c>
      <c r="T105" s="1">
        <v>0.1</v>
      </c>
    </row>
    <row r="106" spans="10:20" x14ac:dyDescent="0.25">
      <c r="J106" s="7">
        <f t="shared" si="1"/>
        <v>45396</v>
      </c>
      <c r="K106" s="1">
        <v>0.1</v>
      </c>
      <c r="L106" s="1">
        <v>0.1</v>
      </c>
      <c r="M106" s="1">
        <v>0.1</v>
      </c>
      <c r="N106" s="1">
        <v>0.1</v>
      </c>
      <c r="O106" s="1">
        <v>0.1</v>
      </c>
      <c r="P106" s="1">
        <v>0.1</v>
      </c>
      <c r="Q106" s="1">
        <v>0.1</v>
      </c>
      <c r="R106" s="1">
        <v>0.1</v>
      </c>
      <c r="S106" s="1">
        <v>0.1</v>
      </c>
      <c r="T106" s="1">
        <v>0.1</v>
      </c>
    </row>
    <row r="107" spans="10:20" x14ac:dyDescent="0.25">
      <c r="J107" s="7">
        <f t="shared" si="1"/>
        <v>45397</v>
      </c>
      <c r="K107" s="1">
        <v>0.1</v>
      </c>
      <c r="L107" s="1">
        <v>0.1</v>
      </c>
      <c r="M107" s="1">
        <v>0.1</v>
      </c>
      <c r="N107" s="1">
        <v>0.1</v>
      </c>
      <c r="O107" s="1">
        <v>0.1</v>
      </c>
      <c r="P107" s="1">
        <v>0.1</v>
      </c>
      <c r="Q107" s="1">
        <v>0.1</v>
      </c>
      <c r="R107" s="1">
        <v>0.1</v>
      </c>
      <c r="S107" s="1">
        <v>0.1</v>
      </c>
      <c r="T107" s="1">
        <v>0.1</v>
      </c>
    </row>
    <row r="108" spans="10:20" x14ac:dyDescent="0.25">
      <c r="J108" s="7">
        <f t="shared" si="1"/>
        <v>45398</v>
      </c>
      <c r="K108" s="1">
        <v>0.1</v>
      </c>
      <c r="L108" s="1">
        <v>0.1</v>
      </c>
      <c r="M108" s="1">
        <v>0.1</v>
      </c>
      <c r="N108" s="1">
        <v>0.1</v>
      </c>
      <c r="O108" s="1">
        <v>0.1</v>
      </c>
      <c r="P108" s="1">
        <v>0.1</v>
      </c>
      <c r="Q108" s="1">
        <v>0.1</v>
      </c>
      <c r="R108" s="1">
        <v>0.1</v>
      </c>
      <c r="S108" s="1">
        <v>0.1</v>
      </c>
      <c r="T108" s="1">
        <v>0.1</v>
      </c>
    </row>
    <row r="109" spans="10:20" x14ac:dyDescent="0.25">
      <c r="J109" s="7">
        <f t="shared" si="1"/>
        <v>45399</v>
      </c>
      <c r="K109" s="1">
        <v>0.1</v>
      </c>
      <c r="L109" s="1">
        <v>0.1</v>
      </c>
      <c r="M109" s="1">
        <v>0.1</v>
      </c>
      <c r="N109" s="1">
        <v>0.1</v>
      </c>
      <c r="O109" s="1">
        <v>0.1</v>
      </c>
      <c r="P109" s="1">
        <v>0.1</v>
      </c>
      <c r="Q109" s="1">
        <v>0.1</v>
      </c>
      <c r="R109" s="1">
        <v>0.1</v>
      </c>
      <c r="S109" s="1">
        <v>0.1</v>
      </c>
      <c r="T109" s="1">
        <v>0.1</v>
      </c>
    </row>
    <row r="110" spans="10:20" x14ac:dyDescent="0.25">
      <c r="J110" s="7">
        <f t="shared" si="1"/>
        <v>45400</v>
      </c>
      <c r="K110" s="1">
        <v>0.1</v>
      </c>
      <c r="L110" s="1">
        <v>0.1</v>
      </c>
      <c r="M110" s="1">
        <v>0.1</v>
      </c>
      <c r="N110" s="1">
        <v>0.1</v>
      </c>
      <c r="O110" s="1">
        <v>0.1</v>
      </c>
      <c r="P110" s="1">
        <v>0.1</v>
      </c>
      <c r="Q110" s="1">
        <v>0.1</v>
      </c>
      <c r="R110" s="1">
        <v>0.1</v>
      </c>
      <c r="S110" s="1">
        <v>0.1</v>
      </c>
      <c r="T110" s="1">
        <v>0.1</v>
      </c>
    </row>
    <row r="111" spans="10:20" x14ac:dyDescent="0.25">
      <c r="J111" s="7">
        <f t="shared" si="1"/>
        <v>45401</v>
      </c>
      <c r="K111" s="1">
        <v>0.1</v>
      </c>
      <c r="L111" s="1">
        <v>0.1</v>
      </c>
      <c r="M111" s="1">
        <v>0.1</v>
      </c>
      <c r="N111" s="1">
        <v>0.1</v>
      </c>
      <c r="O111" s="1">
        <v>0.1</v>
      </c>
      <c r="P111" s="1">
        <v>0.1</v>
      </c>
      <c r="Q111" s="1">
        <v>0.1</v>
      </c>
      <c r="R111" s="1">
        <v>0.1</v>
      </c>
      <c r="S111" s="1">
        <v>0.1</v>
      </c>
      <c r="T111" s="1">
        <v>0.1</v>
      </c>
    </row>
    <row r="112" spans="10:20" x14ac:dyDescent="0.25">
      <c r="J112" s="7">
        <f t="shared" si="1"/>
        <v>45402</v>
      </c>
      <c r="K112" s="1">
        <v>0.1</v>
      </c>
      <c r="L112" s="1">
        <v>0.1</v>
      </c>
      <c r="M112" s="1">
        <v>0.1</v>
      </c>
      <c r="N112" s="1">
        <v>0.1</v>
      </c>
      <c r="O112" s="1">
        <v>0.1</v>
      </c>
      <c r="P112" s="1">
        <v>0.1</v>
      </c>
      <c r="Q112" s="1">
        <v>0.1</v>
      </c>
      <c r="R112" s="1">
        <v>0.1</v>
      </c>
      <c r="S112" s="1">
        <v>0.1</v>
      </c>
      <c r="T112" s="1">
        <v>0.1</v>
      </c>
    </row>
    <row r="113" spans="10:20" x14ac:dyDescent="0.25">
      <c r="J113" s="7">
        <f t="shared" si="1"/>
        <v>45403</v>
      </c>
      <c r="K113" s="1">
        <v>0.1</v>
      </c>
      <c r="L113" s="1">
        <v>0.1</v>
      </c>
      <c r="M113" s="1">
        <v>0.1</v>
      </c>
      <c r="N113" s="1">
        <v>0.1</v>
      </c>
      <c r="O113" s="1">
        <v>0.1</v>
      </c>
      <c r="P113" s="1">
        <v>0.1</v>
      </c>
      <c r="Q113" s="1">
        <v>0.1</v>
      </c>
      <c r="R113" s="1">
        <v>0.1</v>
      </c>
      <c r="S113" s="1">
        <v>0.1</v>
      </c>
      <c r="T113" s="1">
        <v>0.1</v>
      </c>
    </row>
    <row r="114" spans="10:20" x14ac:dyDescent="0.25">
      <c r="J114" s="7">
        <f t="shared" si="1"/>
        <v>45404</v>
      </c>
      <c r="K114" s="1">
        <v>0.1</v>
      </c>
      <c r="L114" s="1">
        <v>0.1</v>
      </c>
      <c r="M114" s="1">
        <v>0.1</v>
      </c>
      <c r="N114" s="1">
        <v>0.1</v>
      </c>
      <c r="O114" s="1">
        <v>0.1</v>
      </c>
      <c r="P114" s="1">
        <v>0.1</v>
      </c>
      <c r="Q114" s="1">
        <v>0.1</v>
      </c>
      <c r="R114" s="1">
        <v>0.1</v>
      </c>
      <c r="S114" s="1">
        <v>0.1</v>
      </c>
      <c r="T114" s="1">
        <v>0.1</v>
      </c>
    </row>
    <row r="115" spans="10:20" x14ac:dyDescent="0.25">
      <c r="J115" s="7">
        <f t="shared" si="1"/>
        <v>45405</v>
      </c>
      <c r="K115" s="1">
        <v>0.1</v>
      </c>
      <c r="L115" s="1">
        <v>0.1</v>
      </c>
      <c r="M115" s="1">
        <v>0.1</v>
      </c>
      <c r="N115" s="1">
        <v>0.1</v>
      </c>
      <c r="O115" s="1">
        <v>0.1</v>
      </c>
      <c r="P115" s="1">
        <v>0.1</v>
      </c>
      <c r="Q115" s="1">
        <v>0.1</v>
      </c>
      <c r="R115" s="1">
        <v>0.1</v>
      </c>
      <c r="S115" s="1">
        <v>0.1</v>
      </c>
      <c r="T115" s="1">
        <v>0.1</v>
      </c>
    </row>
    <row r="116" spans="10:20" x14ac:dyDescent="0.25">
      <c r="J116" s="7">
        <f t="shared" si="1"/>
        <v>45406</v>
      </c>
      <c r="K116" s="1">
        <v>0.1</v>
      </c>
      <c r="L116" s="1">
        <v>0.1</v>
      </c>
      <c r="M116" s="1">
        <v>0.1</v>
      </c>
      <c r="N116" s="1">
        <v>0.1</v>
      </c>
      <c r="O116" s="1">
        <v>0.1</v>
      </c>
      <c r="P116" s="1">
        <v>0.1</v>
      </c>
      <c r="Q116" s="1">
        <v>0.1</v>
      </c>
      <c r="R116" s="1">
        <v>0.1</v>
      </c>
      <c r="S116" s="1">
        <v>0.1</v>
      </c>
      <c r="T116" s="1">
        <v>0.1</v>
      </c>
    </row>
    <row r="117" spans="10:20" x14ac:dyDescent="0.25">
      <c r="J117" s="7">
        <f t="shared" si="1"/>
        <v>45407</v>
      </c>
      <c r="K117" s="1">
        <v>0.1</v>
      </c>
      <c r="L117" s="1">
        <v>0.1</v>
      </c>
      <c r="M117" s="1">
        <v>0.1</v>
      </c>
      <c r="N117" s="1">
        <v>0.1</v>
      </c>
      <c r="O117" s="1">
        <v>0.1</v>
      </c>
      <c r="P117" s="1">
        <v>0.1</v>
      </c>
      <c r="Q117" s="1">
        <v>0.1</v>
      </c>
      <c r="R117" s="1">
        <v>0.1</v>
      </c>
      <c r="S117" s="1">
        <v>0.1</v>
      </c>
      <c r="T117" s="1">
        <v>0.1</v>
      </c>
    </row>
    <row r="118" spans="10:20" x14ac:dyDescent="0.25">
      <c r="J118" s="7">
        <f t="shared" si="1"/>
        <v>45408</v>
      </c>
      <c r="K118" s="1">
        <v>0.1</v>
      </c>
      <c r="L118" s="1">
        <v>0.1</v>
      </c>
      <c r="M118" s="1">
        <v>0.1</v>
      </c>
      <c r="N118" s="1">
        <v>0.1</v>
      </c>
      <c r="O118" s="1">
        <v>0.1</v>
      </c>
      <c r="P118" s="1">
        <v>0.1</v>
      </c>
      <c r="Q118" s="1">
        <v>0.1</v>
      </c>
      <c r="R118" s="1">
        <v>0.1</v>
      </c>
      <c r="S118" s="1">
        <v>0.1</v>
      </c>
      <c r="T118" s="1">
        <v>0.1</v>
      </c>
    </row>
    <row r="119" spans="10:20" x14ac:dyDescent="0.25">
      <c r="J119" s="7">
        <f t="shared" si="1"/>
        <v>45409</v>
      </c>
      <c r="K119" s="1">
        <v>0.1</v>
      </c>
      <c r="L119" s="1">
        <v>0.1</v>
      </c>
      <c r="M119" s="1">
        <v>0.1</v>
      </c>
      <c r="N119" s="1">
        <v>0.1</v>
      </c>
      <c r="O119" s="1">
        <v>0.1</v>
      </c>
      <c r="P119" s="1">
        <v>0.1</v>
      </c>
      <c r="Q119" s="1">
        <v>0.1</v>
      </c>
      <c r="R119" s="1">
        <v>0.1</v>
      </c>
      <c r="S119" s="1">
        <v>0.1</v>
      </c>
      <c r="T119" s="1">
        <v>0.1</v>
      </c>
    </row>
    <row r="120" spans="10:20" x14ac:dyDescent="0.25">
      <c r="J120" s="7">
        <f t="shared" si="1"/>
        <v>45410</v>
      </c>
      <c r="K120" s="1">
        <v>0.1</v>
      </c>
      <c r="L120" s="1">
        <v>0.1</v>
      </c>
      <c r="M120" s="1">
        <v>0.1</v>
      </c>
      <c r="N120" s="1">
        <v>0.1</v>
      </c>
      <c r="O120" s="1">
        <v>0.1</v>
      </c>
      <c r="P120" s="1">
        <v>0.1</v>
      </c>
      <c r="Q120" s="1">
        <v>0.1</v>
      </c>
      <c r="R120" s="1">
        <v>0.1</v>
      </c>
      <c r="S120" s="1">
        <v>0.1</v>
      </c>
      <c r="T120" s="1">
        <v>0.1</v>
      </c>
    </row>
    <row r="121" spans="10:20" x14ac:dyDescent="0.25">
      <c r="J121" s="7">
        <f t="shared" si="1"/>
        <v>45411</v>
      </c>
      <c r="K121" s="1">
        <v>0.1</v>
      </c>
      <c r="L121" s="1">
        <v>0.1</v>
      </c>
      <c r="M121" s="1">
        <v>0.1</v>
      </c>
      <c r="N121" s="1">
        <v>0.1</v>
      </c>
      <c r="O121" s="1">
        <v>0.1</v>
      </c>
      <c r="P121" s="1">
        <v>0.1</v>
      </c>
      <c r="Q121" s="1">
        <v>0.1</v>
      </c>
      <c r="R121" s="1">
        <v>0.1</v>
      </c>
      <c r="S121" s="1">
        <v>0.1</v>
      </c>
      <c r="T121" s="1">
        <v>0.1</v>
      </c>
    </row>
    <row r="122" spans="10:20" x14ac:dyDescent="0.25">
      <c r="J122" s="7">
        <f t="shared" si="1"/>
        <v>45412</v>
      </c>
      <c r="K122" s="1">
        <v>0.1</v>
      </c>
      <c r="L122" s="1">
        <v>0.1</v>
      </c>
      <c r="M122" s="1">
        <v>0.1</v>
      </c>
      <c r="N122" s="1">
        <v>0.1</v>
      </c>
      <c r="O122" s="1">
        <v>0.1</v>
      </c>
      <c r="P122" s="1">
        <v>0.1</v>
      </c>
      <c r="Q122" s="1">
        <v>0.1</v>
      </c>
      <c r="R122" s="1">
        <v>0.1</v>
      </c>
      <c r="S122" s="1">
        <v>0.1</v>
      </c>
      <c r="T122" s="1">
        <v>0.1</v>
      </c>
    </row>
    <row r="123" spans="10:20" x14ac:dyDescent="0.25">
      <c r="J123" s="7">
        <f t="shared" si="1"/>
        <v>45413</v>
      </c>
      <c r="K123" s="1">
        <v>0.1</v>
      </c>
      <c r="L123" s="1">
        <v>0.1</v>
      </c>
      <c r="M123" s="1">
        <v>0.1</v>
      </c>
      <c r="N123" s="1">
        <v>0.1</v>
      </c>
      <c r="O123" s="1">
        <v>0.1</v>
      </c>
      <c r="P123" s="1">
        <v>0.1</v>
      </c>
      <c r="Q123" s="1">
        <v>0.1</v>
      </c>
      <c r="R123" s="1">
        <v>0.1</v>
      </c>
      <c r="S123" s="1">
        <v>0.1</v>
      </c>
      <c r="T123" s="1">
        <v>0.1</v>
      </c>
    </row>
    <row r="124" spans="10:20" x14ac:dyDescent="0.25">
      <c r="J124" s="7">
        <f t="shared" si="1"/>
        <v>45414</v>
      </c>
      <c r="K124" s="1">
        <v>0.1</v>
      </c>
      <c r="L124" s="1">
        <v>0.1</v>
      </c>
      <c r="M124" s="1">
        <v>0.1</v>
      </c>
      <c r="N124" s="1">
        <v>0.1</v>
      </c>
      <c r="O124" s="1">
        <v>0.1</v>
      </c>
      <c r="P124" s="1">
        <v>0.1</v>
      </c>
      <c r="Q124" s="1">
        <v>0.1</v>
      </c>
      <c r="R124" s="1">
        <v>0.1</v>
      </c>
      <c r="S124" s="1">
        <v>0.1</v>
      </c>
      <c r="T124" s="1">
        <v>0.1</v>
      </c>
    </row>
    <row r="125" spans="10:20" x14ac:dyDescent="0.25">
      <c r="J125" s="7">
        <f t="shared" si="1"/>
        <v>45415</v>
      </c>
      <c r="K125" s="1">
        <v>0.1</v>
      </c>
      <c r="L125" s="1">
        <v>0.1</v>
      </c>
      <c r="M125" s="1">
        <v>0.1</v>
      </c>
      <c r="N125" s="1">
        <v>0.1</v>
      </c>
      <c r="O125" s="1">
        <v>0.1</v>
      </c>
      <c r="P125" s="1">
        <v>0.1</v>
      </c>
      <c r="Q125" s="1">
        <v>0.1</v>
      </c>
      <c r="R125" s="1">
        <v>0.1</v>
      </c>
      <c r="S125" s="1">
        <v>0.1</v>
      </c>
      <c r="T125" s="1">
        <v>0.1</v>
      </c>
    </row>
    <row r="126" spans="10:20" x14ac:dyDescent="0.25">
      <c r="J126" s="7">
        <f t="shared" si="1"/>
        <v>45416</v>
      </c>
      <c r="K126" s="1">
        <v>0.1</v>
      </c>
      <c r="L126" s="1">
        <v>0.1</v>
      </c>
      <c r="M126" s="1">
        <v>0.1</v>
      </c>
      <c r="N126" s="1">
        <v>0.1</v>
      </c>
      <c r="O126" s="1">
        <v>0.1</v>
      </c>
      <c r="P126" s="1">
        <v>0.1</v>
      </c>
      <c r="Q126" s="1">
        <v>0.1</v>
      </c>
      <c r="R126" s="1">
        <v>0.1</v>
      </c>
      <c r="S126" s="1">
        <v>0.1</v>
      </c>
      <c r="T126" s="1">
        <v>0.1</v>
      </c>
    </row>
    <row r="127" spans="10:20" x14ac:dyDescent="0.25">
      <c r="J127" s="7">
        <f t="shared" si="1"/>
        <v>45417</v>
      </c>
      <c r="K127" s="1">
        <v>0.1</v>
      </c>
      <c r="L127" s="1">
        <v>0.1</v>
      </c>
      <c r="M127" s="1">
        <v>0.1</v>
      </c>
      <c r="N127" s="1">
        <v>0.1</v>
      </c>
      <c r="O127" s="1">
        <v>0.1</v>
      </c>
      <c r="P127" s="1">
        <v>0.1</v>
      </c>
      <c r="Q127" s="1">
        <v>0.1</v>
      </c>
      <c r="R127" s="1">
        <v>0.1</v>
      </c>
      <c r="S127" s="1">
        <v>0.1</v>
      </c>
      <c r="T127" s="1">
        <v>0.1</v>
      </c>
    </row>
    <row r="128" spans="10:20" x14ac:dyDescent="0.25">
      <c r="J128" s="7">
        <f t="shared" si="1"/>
        <v>45418</v>
      </c>
      <c r="K128" s="1">
        <v>0.1</v>
      </c>
      <c r="L128" s="1">
        <v>0.1</v>
      </c>
      <c r="M128" s="1">
        <v>0.1</v>
      </c>
      <c r="N128" s="1">
        <v>0.1</v>
      </c>
      <c r="O128" s="1">
        <v>0.1</v>
      </c>
      <c r="P128" s="1">
        <v>0.1</v>
      </c>
      <c r="Q128" s="1">
        <v>0.1</v>
      </c>
      <c r="R128" s="1">
        <v>0.1</v>
      </c>
      <c r="S128" s="1">
        <v>0.1</v>
      </c>
      <c r="T128" s="1">
        <v>0.1</v>
      </c>
    </row>
    <row r="129" spans="10:20" x14ac:dyDescent="0.25">
      <c r="J129" s="7">
        <f t="shared" si="1"/>
        <v>45419</v>
      </c>
      <c r="K129" s="1">
        <v>0.1</v>
      </c>
      <c r="L129" s="1">
        <v>0.1</v>
      </c>
      <c r="M129" s="1">
        <v>0.1</v>
      </c>
      <c r="N129" s="1">
        <v>0.1</v>
      </c>
      <c r="O129" s="1">
        <v>0.1</v>
      </c>
      <c r="P129" s="1">
        <v>0.1</v>
      </c>
      <c r="Q129" s="1">
        <v>0.1</v>
      </c>
      <c r="R129" s="1">
        <v>0.1</v>
      </c>
      <c r="S129" s="1">
        <v>0.1</v>
      </c>
      <c r="T129" s="1">
        <v>0.1</v>
      </c>
    </row>
    <row r="130" spans="10:20" x14ac:dyDescent="0.25">
      <c r="J130" s="7">
        <f t="shared" si="1"/>
        <v>45420</v>
      </c>
      <c r="K130" s="1">
        <v>0.1</v>
      </c>
      <c r="L130" s="1">
        <v>0.1</v>
      </c>
      <c r="M130" s="1">
        <v>0.1</v>
      </c>
      <c r="N130" s="1">
        <v>0.1</v>
      </c>
      <c r="O130" s="1">
        <v>0.1</v>
      </c>
      <c r="P130" s="1">
        <v>0.1</v>
      </c>
      <c r="Q130" s="1">
        <v>0.1</v>
      </c>
      <c r="R130" s="1">
        <v>0.1</v>
      </c>
      <c r="S130" s="1">
        <v>0.1</v>
      </c>
      <c r="T130" s="1">
        <v>0.1</v>
      </c>
    </row>
    <row r="131" spans="10:20" x14ac:dyDescent="0.25">
      <c r="J131" s="7">
        <f t="shared" si="1"/>
        <v>45421</v>
      </c>
      <c r="K131" s="1">
        <v>0.1</v>
      </c>
      <c r="L131" s="1">
        <v>0.1</v>
      </c>
      <c r="M131" s="1">
        <v>0.1</v>
      </c>
      <c r="N131" s="1">
        <v>0.1</v>
      </c>
      <c r="O131" s="1">
        <v>0.1</v>
      </c>
      <c r="P131" s="1">
        <v>0.1</v>
      </c>
      <c r="Q131" s="1">
        <v>0.1</v>
      </c>
      <c r="R131" s="1">
        <v>0.1</v>
      </c>
      <c r="S131" s="1">
        <v>0.1</v>
      </c>
      <c r="T131" s="1">
        <v>0.1</v>
      </c>
    </row>
    <row r="132" spans="10:20" x14ac:dyDescent="0.25">
      <c r="J132" s="7">
        <f t="shared" si="1"/>
        <v>45422</v>
      </c>
      <c r="K132" s="1">
        <v>0.1</v>
      </c>
      <c r="L132" s="1">
        <v>0.1</v>
      </c>
      <c r="M132" s="1">
        <v>0.1</v>
      </c>
      <c r="N132" s="1">
        <v>0.1</v>
      </c>
      <c r="O132" s="1">
        <v>0.1</v>
      </c>
      <c r="P132" s="1">
        <v>0.1</v>
      </c>
      <c r="Q132" s="1">
        <v>0.1</v>
      </c>
      <c r="R132" s="1">
        <v>0.1</v>
      </c>
      <c r="S132" s="1">
        <v>0.1</v>
      </c>
      <c r="T132" s="1">
        <v>0.1</v>
      </c>
    </row>
    <row r="133" spans="10:20" x14ac:dyDescent="0.25">
      <c r="J133" s="7">
        <f t="shared" ref="J133:J196" si="2">J132+1</f>
        <v>45423</v>
      </c>
      <c r="K133" s="1">
        <v>0.1</v>
      </c>
      <c r="L133" s="1">
        <v>0.1</v>
      </c>
      <c r="M133" s="1">
        <v>0.1</v>
      </c>
      <c r="N133" s="1">
        <v>0.1</v>
      </c>
      <c r="O133" s="1">
        <v>0.1</v>
      </c>
      <c r="P133" s="1">
        <v>0.1</v>
      </c>
      <c r="Q133" s="1">
        <v>0.1</v>
      </c>
      <c r="R133" s="1">
        <v>0.1</v>
      </c>
      <c r="S133" s="1">
        <v>0.1</v>
      </c>
      <c r="T133" s="1">
        <v>0.1</v>
      </c>
    </row>
    <row r="134" spans="10:20" x14ac:dyDescent="0.25">
      <c r="J134" s="7">
        <f t="shared" si="2"/>
        <v>45424</v>
      </c>
      <c r="K134" s="1">
        <v>0.1</v>
      </c>
      <c r="L134" s="1">
        <v>0.1</v>
      </c>
      <c r="M134" s="1">
        <v>0.1</v>
      </c>
      <c r="N134" s="1">
        <v>0.1</v>
      </c>
      <c r="O134" s="1">
        <v>0.1</v>
      </c>
      <c r="P134" s="1">
        <v>0.1</v>
      </c>
      <c r="Q134" s="1">
        <v>0.1</v>
      </c>
      <c r="R134" s="1">
        <v>0.1</v>
      </c>
      <c r="S134" s="1">
        <v>0.1</v>
      </c>
      <c r="T134" s="1">
        <v>0.1</v>
      </c>
    </row>
    <row r="135" spans="10:20" x14ac:dyDescent="0.25">
      <c r="J135" s="7">
        <f t="shared" si="2"/>
        <v>45425</v>
      </c>
      <c r="K135" s="1">
        <v>0.1</v>
      </c>
      <c r="L135" s="1">
        <v>0.1</v>
      </c>
      <c r="M135" s="1">
        <v>0.1</v>
      </c>
      <c r="N135" s="1">
        <v>0.1</v>
      </c>
      <c r="O135" s="1">
        <v>0.1</v>
      </c>
      <c r="P135" s="1">
        <v>0.1</v>
      </c>
      <c r="Q135" s="1">
        <v>0.1</v>
      </c>
      <c r="R135" s="1">
        <v>0.1</v>
      </c>
      <c r="S135" s="1">
        <v>0.1</v>
      </c>
      <c r="T135" s="1">
        <v>0.1</v>
      </c>
    </row>
    <row r="136" spans="10:20" x14ac:dyDescent="0.25">
      <c r="J136" s="7">
        <f t="shared" si="2"/>
        <v>45426</v>
      </c>
      <c r="K136" s="1">
        <v>0.1</v>
      </c>
      <c r="L136" s="1">
        <v>0.1</v>
      </c>
      <c r="M136" s="1">
        <v>0.1</v>
      </c>
      <c r="N136" s="1">
        <v>0.1</v>
      </c>
      <c r="O136" s="1">
        <v>0.1</v>
      </c>
      <c r="P136" s="1">
        <v>0.1</v>
      </c>
      <c r="Q136" s="1">
        <v>0.1</v>
      </c>
      <c r="R136" s="1">
        <v>0.1</v>
      </c>
      <c r="S136" s="1">
        <v>0.1</v>
      </c>
      <c r="T136" s="1">
        <v>0.1</v>
      </c>
    </row>
    <row r="137" spans="10:20" x14ac:dyDescent="0.25">
      <c r="J137" s="7">
        <f t="shared" si="2"/>
        <v>45427</v>
      </c>
      <c r="K137" s="1">
        <v>0.1</v>
      </c>
      <c r="L137" s="1">
        <v>0.1</v>
      </c>
      <c r="M137" s="1">
        <v>0.1</v>
      </c>
      <c r="N137" s="1">
        <v>0.1</v>
      </c>
      <c r="O137" s="1">
        <v>0.1</v>
      </c>
      <c r="P137" s="1">
        <v>0.1</v>
      </c>
      <c r="Q137" s="1">
        <v>0.1</v>
      </c>
      <c r="R137" s="1">
        <v>0.1</v>
      </c>
      <c r="S137" s="1">
        <v>0.1</v>
      </c>
      <c r="T137" s="1">
        <v>0.1</v>
      </c>
    </row>
    <row r="138" spans="10:20" x14ac:dyDescent="0.25">
      <c r="J138" s="7">
        <f t="shared" si="2"/>
        <v>45428</v>
      </c>
      <c r="K138" s="1">
        <v>0.1</v>
      </c>
      <c r="L138" s="1">
        <v>0.1</v>
      </c>
      <c r="M138" s="1">
        <v>0.1</v>
      </c>
      <c r="N138" s="1">
        <v>0.1</v>
      </c>
      <c r="O138" s="1">
        <v>0.1</v>
      </c>
      <c r="P138" s="1">
        <v>0.1</v>
      </c>
      <c r="Q138" s="1">
        <v>0.1</v>
      </c>
      <c r="R138" s="1">
        <v>0.1</v>
      </c>
      <c r="S138" s="1">
        <v>0.1</v>
      </c>
      <c r="T138" s="1">
        <v>0.1</v>
      </c>
    </row>
    <row r="139" spans="10:20" x14ac:dyDescent="0.25">
      <c r="J139" s="7">
        <f t="shared" si="2"/>
        <v>45429</v>
      </c>
      <c r="K139" s="1">
        <v>0.1</v>
      </c>
      <c r="L139" s="1">
        <v>0.1</v>
      </c>
      <c r="M139" s="1">
        <v>0.1</v>
      </c>
      <c r="N139" s="1">
        <v>0.1</v>
      </c>
      <c r="O139" s="1">
        <v>0.1</v>
      </c>
      <c r="P139" s="1">
        <v>0.1</v>
      </c>
      <c r="Q139" s="1">
        <v>0.1</v>
      </c>
      <c r="R139" s="1">
        <v>0.1</v>
      </c>
      <c r="S139" s="1">
        <v>0.1</v>
      </c>
      <c r="T139" s="1">
        <v>0.1</v>
      </c>
    </row>
    <row r="140" spans="10:20" x14ac:dyDescent="0.25">
      <c r="J140" s="7">
        <f t="shared" si="2"/>
        <v>45430</v>
      </c>
      <c r="K140" s="1">
        <v>0.1</v>
      </c>
      <c r="L140" s="1">
        <v>0.1</v>
      </c>
      <c r="M140" s="1">
        <v>0.1</v>
      </c>
      <c r="N140" s="1">
        <v>0.1</v>
      </c>
      <c r="O140" s="1">
        <v>0.1</v>
      </c>
      <c r="P140" s="1">
        <v>0.1</v>
      </c>
      <c r="Q140" s="1">
        <v>0.1</v>
      </c>
      <c r="R140" s="1">
        <v>0.1</v>
      </c>
      <c r="S140" s="1">
        <v>0.1</v>
      </c>
      <c r="T140" s="1">
        <v>0.1</v>
      </c>
    </row>
    <row r="141" spans="10:20" x14ac:dyDescent="0.25">
      <c r="J141" s="7">
        <f t="shared" si="2"/>
        <v>45431</v>
      </c>
      <c r="K141" s="1">
        <v>0.1</v>
      </c>
      <c r="L141" s="1">
        <v>0.1</v>
      </c>
      <c r="M141" s="1">
        <v>0.1</v>
      </c>
      <c r="N141" s="1">
        <v>0.1</v>
      </c>
      <c r="O141" s="1">
        <v>0.1</v>
      </c>
      <c r="P141" s="1">
        <v>0.1</v>
      </c>
      <c r="Q141" s="1">
        <v>0.1</v>
      </c>
      <c r="R141" s="1">
        <v>0.1</v>
      </c>
      <c r="S141" s="1">
        <v>0.1</v>
      </c>
      <c r="T141" s="1">
        <v>0.1</v>
      </c>
    </row>
    <row r="142" spans="10:20" x14ac:dyDescent="0.25">
      <c r="J142" s="7">
        <f t="shared" si="2"/>
        <v>45432</v>
      </c>
      <c r="K142" s="1">
        <v>0.1</v>
      </c>
      <c r="L142" s="1">
        <v>0.1</v>
      </c>
      <c r="M142" s="1">
        <v>0.1</v>
      </c>
      <c r="N142" s="1">
        <v>0.1</v>
      </c>
      <c r="O142" s="1">
        <v>0.1</v>
      </c>
      <c r="P142" s="1">
        <v>0.1</v>
      </c>
      <c r="Q142" s="1">
        <v>0.1</v>
      </c>
      <c r="R142" s="1">
        <v>0.1</v>
      </c>
      <c r="S142" s="1">
        <v>0.1</v>
      </c>
      <c r="T142" s="1">
        <v>0.1</v>
      </c>
    </row>
    <row r="143" spans="10:20" x14ac:dyDescent="0.25">
      <c r="J143" s="7">
        <f t="shared" si="2"/>
        <v>45433</v>
      </c>
      <c r="K143" s="1">
        <v>0.1</v>
      </c>
      <c r="L143" s="1">
        <v>0.1</v>
      </c>
      <c r="M143" s="1">
        <v>0.1</v>
      </c>
      <c r="N143" s="1">
        <v>0.1</v>
      </c>
      <c r="O143" s="1">
        <v>0.1</v>
      </c>
      <c r="P143" s="1">
        <v>0.1</v>
      </c>
      <c r="Q143" s="1">
        <v>0.1</v>
      </c>
      <c r="R143" s="1">
        <v>0.1</v>
      </c>
      <c r="S143" s="1">
        <v>0.1</v>
      </c>
      <c r="T143" s="1">
        <v>0.1</v>
      </c>
    </row>
    <row r="144" spans="10:20" x14ac:dyDescent="0.25">
      <c r="J144" s="7">
        <f t="shared" si="2"/>
        <v>45434</v>
      </c>
      <c r="K144" s="1">
        <v>0.1</v>
      </c>
      <c r="L144" s="1">
        <v>0.1</v>
      </c>
      <c r="M144" s="1">
        <v>0.1</v>
      </c>
      <c r="N144" s="1">
        <v>0.1</v>
      </c>
      <c r="O144" s="1">
        <v>0.1</v>
      </c>
      <c r="P144" s="1">
        <v>0.1</v>
      </c>
      <c r="Q144" s="1">
        <v>0.1</v>
      </c>
      <c r="R144" s="1">
        <v>0.1</v>
      </c>
      <c r="S144" s="1">
        <v>0.1</v>
      </c>
      <c r="T144" s="1">
        <v>0.1</v>
      </c>
    </row>
    <row r="145" spans="10:20" x14ac:dyDescent="0.25">
      <c r="J145" s="7">
        <f t="shared" si="2"/>
        <v>45435</v>
      </c>
      <c r="K145" s="1">
        <v>0.1</v>
      </c>
      <c r="L145" s="1">
        <v>0.1</v>
      </c>
      <c r="M145" s="1">
        <v>0.1</v>
      </c>
      <c r="N145" s="1">
        <v>0.1</v>
      </c>
      <c r="O145" s="1">
        <v>0.1</v>
      </c>
      <c r="P145" s="1">
        <v>0.1</v>
      </c>
      <c r="Q145" s="1">
        <v>0.1</v>
      </c>
      <c r="R145" s="1">
        <v>0.1</v>
      </c>
      <c r="S145" s="1">
        <v>0.1</v>
      </c>
      <c r="T145" s="1">
        <v>0.1</v>
      </c>
    </row>
    <row r="146" spans="10:20" x14ac:dyDescent="0.25">
      <c r="J146" s="7">
        <f t="shared" si="2"/>
        <v>45436</v>
      </c>
      <c r="K146" s="1">
        <v>0.1</v>
      </c>
      <c r="L146" s="1">
        <v>0.1</v>
      </c>
      <c r="M146" s="1">
        <v>0.1</v>
      </c>
      <c r="N146" s="1">
        <v>0.1</v>
      </c>
      <c r="O146" s="1">
        <v>0.1</v>
      </c>
      <c r="P146" s="1">
        <v>0.1</v>
      </c>
      <c r="Q146" s="1">
        <v>0.1</v>
      </c>
      <c r="R146" s="1">
        <v>0.1</v>
      </c>
      <c r="S146" s="1">
        <v>0.1</v>
      </c>
      <c r="T146" s="1">
        <v>0.1</v>
      </c>
    </row>
    <row r="147" spans="10:20" x14ac:dyDescent="0.25">
      <c r="J147" s="7">
        <f t="shared" si="2"/>
        <v>45437</v>
      </c>
      <c r="K147" s="1">
        <v>0.1</v>
      </c>
      <c r="L147" s="1">
        <v>0.1</v>
      </c>
      <c r="M147" s="1">
        <v>0.1</v>
      </c>
      <c r="N147" s="1">
        <v>0.1</v>
      </c>
      <c r="O147" s="1">
        <v>0.1</v>
      </c>
      <c r="P147" s="1">
        <v>0.1</v>
      </c>
      <c r="Q147" s="1">
        <v>0.1</v>
      </c>
      <c r="R147" s="1">
        <v>0.1</v>
      </c>
      <c r="S147" s="1">
        <v>0.1</v>
      </c>
      <c r="T147" s="1">
        <v>0.1</v>
      </c>
    </row>
    <row r="148" spans="10:20" x14ac:dyDescent="0.25">
      <c r="J148" s="7">
        <f t="shared" si="2"/>
        <v>45438</v>
      </c>
      <c r="K148" s="1">
        <v>0.1</v>
      </c>
      <c r="L148" s="1">
        <v>0.1</v>
      </c>
      <c r="M148" s="1">
        <v>0.1</v>
      </c>
      <c r="N148" s="1">
        <v>0.1</v>
      </c>
      <c r="O148" s="1">
        <v>0.1</v>
      </c>
      <c r="P148" s="1">
        <v>0.1</v>
      </c>
      <c r="Q148" s="1">
        <v>0.1</v>
      </c>
      <c r="R148" s="1">
        <v>0.1</v>
      </c>
      <c r="S148" s="1">
        <v>0.1</v>
      </c>
      <c r="T148" s="1">
        <v>0.1</v>
      </c>
    </row>
    <row r="149" spans="10:20" x14ac:dyDescent="0.25">
      <c r="J149" s="7">
        <f t="shared" si="2"/>
        <v>45439</v>
      </c>
      <c r="K149" s="1">
        <v>0.1</v>
      </c>
      <c r="L149" s="1">
        <v>0.1</v>
      </c>
      <c r="M149" s="1">
        <v>0.1</v>
      </c>
      <c r="N149" s="1">
        <v>0.1</v>
      </c>
      <c r="O149" s="1">
        <v>0.1</v>
      </c>
      <c r="P149" s="1">
        <v>0.1</v>
      </c>
      <c r="Q149" s="1">
        <v>0.1</v>
      </c>
      <c r="R149" s="1">
        <v>0.1</v>
      </c>
      <c r="S149" s="1">
        <v>0.1</v>
      </c>
      <c r="T149" s="1">
        <v>0.1</v>
      </c>
    </row>
    <row r="150" spans="10:20" x14ac:dyDescent="0.25">
      <c r="J150" s="7">
        <f t="shared" si="2"/>
        <v>45440</v>
      </c>
      <c r="K150" s="1">
        <v>0.1</v>
      </c>
      <c r="L150" s="1">
        <v>0.1</v>
      </c>
      <c r="M150" s="1">
        <v>0.1</v>
      </c>
      <c r="N150" s="1">
        <v>0.1</v>
      </c>
      <c r="O150" s="1">
        <v>0.1</v>
      </c>
      <c r="P150" s="1">
        <v>0.1</v>
      </c>
      <c r="Q150" s="1">
        <v>0.1</v>
      </c>
      <c r="R150" s="1">
        <v>0.1</v>
      </c>
      <c r="S150" s="1">
        <v>0.1</v>
      </c>
      <c r="T150" s="1">
        <v>0.1</v>
      </c>
    </row>
    <row r="151" spans="10:20" x14ac:dyDescent="0.25">
      <c r="J151" s="7">
        <f t="shared" si="2"/>
        <v>45441</v>
      </c>
      <c r="K151" s="1">
        <v>0.1</v>
      </c>
      <c r="L151" s="1">
        <v>0.1</v>
      </c>
      <c r="M151" s="1">
        <v>0.1</v>
      </c>
      <c r="N151" s="1">
        <v>0.1</v>
      </c>
      <c r="O151" s="1">
        <v>0.1</v>
      </c>
      <c r="P151" s="1">
        <v>0.1</v>
      </c>
      <c r="Q151" s="1">
        <v>0.1</v>
      </c>
      <c r="R151" s="1">
        <v>0.1</v>
      </c>
      <c r="S151" s="1">
        <v>0.1</v>
      </c>
      <c r="T151" s="1">
        <v>0.1</v>
      </c>
    </row>
    <row r="152" spans="10:20" x14ac:dyDescent="0.25">
      <c r="J152" s="7">
        <f t="shared" si="2"/>
        <v>45442</v>
      </c>
      <c r="K152" s="1">
        <v>0.1</v>
      </c>
      <c r="L152" s="1">
        <v>0.1</v>
      </c>
      <c r="M152" s="1">
        <v>0.1</v>
      </c>
      <c r="N152" s="1">
        <v>0.1</v>
      </c>
      <c r="O152" s="1">
        <v>0.1</v>
      </c>
      <c r="P152" s="1">
        <v>0.1</v>
      </c>
      <c r="Q152" s="1">
        <v>0.1</v>
      </c>
      <c r="R152" s="1">
        <v>0.1</v>
      </c>
      <c r="S152" s="1">
        <v>0.1</v>
      </c>
      <c r="T152" s="1">
        <v>0.1</v>
      </c>
    </row>
    <row r="153" spans="10:20" x14ac:dyDescent="0.25">
      <c r="J153" s="7">
        <f t="shared" si="2"/>
        <v>45443</v>
      </c>
      <c r="K153" s="1">
        <v>0.1</v>
      </c>
      <c r="L153" s="1">
        <v>0.1</v>
      </c>
      <c r="M153" s="1">
        <v>0.1</v>
      </c>
      <c r="N153" s="1">
        <v>0.1</v>
      </c>
      <c r="O153" s="1">
        <v>0.1</v>
      </c>
      <c r="P153" s="1">
        <v>0.1</v>
      </c>
      <c r="Q153" s="1">
        <v>0.1</v>
      </c>
      <c r="R153" s="1">
        <v>0.1</v>
      </c>
      <c r="S153" s="1">
        <v>0.1</v>
      </c>
      <c r="T153" s="1">
        <v>0.1</v>
      </c>
    </row>
    <row r="154" spans="10:20" x14ac:dyDescent="0.25">
      <c r="J154" s="7">
        <f t="shared" si="2"/>
        <v>45444</v>
      </c>
      <c r="K154" s="1">
        <v>0.1</v>
      </c>
      <c r="L154" s="1">
        <v>0.1</v>
      </c>
      <c r="M154" s="1">
        <v>0.1</v>
      </c>
      <c r="N154" s="1">
        <v>0.1</v>
      </c>
      <c r="O154" s="1">
        <v>0.1</v>
      </c>
      <c r="P154" s="1">
        <v>0.1</v>
      </c>
      <c r="Q154" s="1">
        <v>0.1</v>
      </c>
      <c r="R154" s="1">
        <v>0.1</v>
      </c>
      <c r="S154" s="1">
        <v>0.1</v>
      </c>
      <c r="T154" s="1">
        <v>0.1</v>
      </c>
    </row>
    <row r="155" spans="10:20" x14ac:dyDescent="0.25">
      <c r="J155" s="7">
        <f t="shared" si="2"/>
        <v>45445</v>
      </c>
      <c r="K155" s="1">
        <v>0.1</v>
      </c>
      <c r="L155" s="1">
        <v>0.1</v>
      </c>
      <c r="M155" s="1">
        <v>0.1</v>
      </c>
      <c r="N155" s="1">
        <v>0.1</v>
      </c>
      <c r="O155" s="1">
        <v>0.1</v>
      </c>
      <c r="P155" s="1">
        <v>0.1</v>
      </c>
      <c r="Q155" s="1">
        <v>0.1</v>
      </c>
      <c r="R155" s="1">
        <v>0.1</v>
      </c>
      <c r="S155" s="1">
        <v>0.1</v>
      </c>
      <c r="T155" s="1">
        <v>0.1</v>
      </c>
    </row>
    <row r="156" spans="10:20" x14ac:dyDescent="0.25">
      <c r="J156" s="7">
        <f t="shared" si="2"/>
        <v>45446</v>
      </c>
      <c r="K156" s="1">
        <v>0.1</v>
      </c>
      <c r="L156" s="1">
        <v>0.1</v>
      </c>
      <c r="M156" s="1">
        <v>0.1</v>
      </c>
      <c r="N156" s="1">
        <v>0.1</v>
      </c>
      <c r="O156" s="1">
        <v>0.1</v>
      </c>
      <c r="P156" s="1">
        <v>0.1</v>
      </c>
      <c r="Q156" s="1">
        <v>0.1</v>
      </c>
      <c r="R156" s="1">
        <v>0.1</v>
      </c>
      <c r="S156" s="1">
        <v>0.1</v>
      </c>
      <c r="T156" s="1">
        <v>0.1</v>
      </c>
    </row>
    <row r="157" spans="10:20" x14ac:dyDescent="0.25">
      <c r="J157" s="7">
        <f t="shared" si="2"/>
        <v>45447</v>
      </c>
      <c r="K157" s="1">
        <v>0.1</v>
      </c>
      <c r="L157" s="1">
        <v>0.1</v>
      </c>
      <c r="M157" s="1">
        <v>0.1</v>
      </c>
      <c r="N157" s="1">
        <v>0.1</v>
      </c>
      <c r="O157" s="1">
        <v>0.1</v>
      </c>
      <c r="P157" s="1">
        <v>0.1</v>
      </c>
      <c r="Q157" s="1">
        <v>0.1</v>
      </c>
      <c r="R157" s="1">
        <v>0.1</v>
      </c>
      <c r="S157" s="1">
        <v>0.1</v>
      </c>
      <c r="T157" s="1">
        <v>0.1</v>
      </c>
    </row>
    <row r="158" spans="10:20" x14ac:dyDescent="0.25">
      <c r="J158" s="7">
        <f t="shared" si="2"/>
        <v>45448</v>
      </c>
      <c r="K158" s="1">
        <v>0.1</v>
      </c>
      <c r="L158" s="1">
        <v>0.1</v>
      </c>
      <c r="M158" s="1">
        <v>0.1</v>
      </c>
      <c r="N158" s="1">
        <v>0.1</v>
      </c>
      <c r="O158" s="1">
        <v>0.1</v>
      </c>
      <c r="P158" s="1">
        <v>0.1</v>
      </c>
      <c r="Q158" s="1">
        <v>0.1</v>
      </c>
      <c r="R158" s="1">
        <v>0.1</v>
      </c>
      <c r="S158" s="1">
        <v>0.1</v>
      </c>
      <c r="T158" s="1">
        <v>0.1</v>
      </c>
    </row>
    <row r="159" spans="10:20" x14ac:dyDescent="0.25">
      <c r="J159" s="7">
        <f t="shared" si="2"/>
        <v>45449</v>
      </c>
      <c r="K159" s="1">
        <v>0.1</v>
      </c>
      <c r="L159" s="1">
        <v>0.1</v>
      </c>
      <c r="M159" s="1">
        <v>0.1</v>
      </c>
      <c r="N159" s="1">
        <v>0.1</v>
      </c>
      <c r="O159" s="1">
        <v>0.1</v>
      </c>
      <c r="P159" s="1">
        <v>0.1</v>
      </c>
      <c r="Q159" s="1">
        <v>0.1</v>
      </c>
      <c r="R159" s="1">
        <v>0.1</v>
      </c>
      <c r="S159" s="1">
        <v>0.1</v>
      </c>
      <c r="T159" s="1">
        <v>0.1</v>
      </c>
    </row>
    <row r="160" spans="10:20" x14ac:dyDescent="0.25">
      <c r="J160" s="7">
        <f t="shared" si="2"/>
        <v>45450</v>
      </c>
      <c r="K160" s="1">
        <v>0.1</v>
      </c>
      <c r="L160" s="1">
        <v>0.1</v>
      </c>
      <c r="M160" s="1">
        <v>0.1</v>
      </c>
      <c r="N160" s="1">
        <v>0.1</v>
      </c>
      <c r="O160" s="1">
        <v>0.1</v>
      </c>
      <c r="P160" s="1">
        <v>0.1</v>
      </c>
      <c r="Q160" s="1">
        <v>0.1</v>
      </c>
      <c r="R160" s="1">
        <v>0.1</v>
      </c>
      <c r="S160" s="1">
        <v>0.1</v>
      </c>
      <c r="T160" s="1">
        <v>0.1</v>
      </c>
    </row>
    <row r="161" spans="10:20" x14ac:dyDescent="0.25">
      <c r="J161" s="7">
        <f t="shared" si="2"/>
        <v>45451</v>
      </c>
      <c r="K161" s="1">
        <v>0.1</v>
      </c>
      <c r="L161" s="1">
        <v>0.1</v>
      </c>
      <c r="M161" s="1">
        <v>0.1</v>
      </c>
      <c r="N161" s="1">
        <v>0.1</v>
      </c>
      <c r="O161" s="1">
        <v>0.1</v>
      </c>
      <c r="P161" s="1">
        <v>0.1</v>
      </c>
      <c r="Q161" s="1">
        <v>0.1</v>
      </c>
      <c r="R161" s="1">
        <v>0.1</v>
      </c>
      <c r="S161" s="1">
        <v>0.1</v>
      </c>
      <c r="T161" s="1">
        <v>0.1</v>
      </c>
    </row>
    <row r="162" spans="10:20" x14ac:dyDescent="0.25">
      <c r="J162" s="7">
        <f t="shared" si="2"/>
        <v>45452</v>
      </c>
      <c r="K162" s="1">
        <v>0.1</v>
      </c>
      <c r="L162" s="1">
        <v>0.1</v>
      </c>
      <c r="M162" s="1">
        <v>0.1</v>
      </c>
      <c r="N162" s="1">
        <v>0.1</v>
      </c>
      <c r="O162" s="1">
        <v>0.1</v>
      </c>
      <c r="P162" s="1">
        <v>0.1</v>
      </c>
      <c r="Q162" s="1">
        <v>0.1</v>
      </c>
      <c r="R162" s="1">
        <v>0.1</v>
      </c>
      <c r="S162" s="1">
        <v>0.1</v>
      </c>
      <c r="T162" s="1">
        <v>0.1</v>
      </c>
    </row>
    <row r="163" spans="10:20" x14ac:dyDescent="0.25">
      <c r="J163" s="7">
        <f t="shared" si="2"/>
        <v>45453</v>
      </c>
      <c r="K163" s="1">
        <v>0.1</v>
      </c>
      <c r="L163" s="1">
        <v>0.1</v>
      </c>
      <c r="M163" s="1">
        <v>0.1</v>
      </c>
      <c r="N163" s="1">
        <v>0.1</v>
      </c>
      <c r="O163" s="1">
        <v>0.1</v>
      </c>
      <c r="P163" s="1">
        <v>0.1</v>
      </c>
      <c r="Q163" s="1">
        <v>0.1</v>
      </c>
      <c r="R163" s="1">
        <v>0.1</v>
      </c>
      <c r="S163" s="1">
        <v>0.1</v>
      </c>
      <c r="T163" s="1">
        <v>0.1</v>
      </c>
    </row>
    <row r="164" spans="10:20" x14ac:dyDescent="0.25">
      <c r="J164" s="7">
        <f t="shared" si="2"/>
        <v>45454</v>
      </c>
      <c r="K164" s="1">
        <v>0.1</v>
      </c>
      <c r="L164" s="1">
        <v>0.1</v>
      </c>
      <c r="M164" s="1">
        <v>0.1</v>
      </c>
      <c r="N164" s="1">
        <v>0.1</v>
      </c>
      <c r="O164" s="1">
        <v>0.1</v>
      </c>
      <c r="P164" s="1">
        <v>0.1</v>
      </c>
      <c r="Q164" s="1">
        <v>0.1</v>
      </c>
      <c r="R164" s="1">
        <v>0.1</v>
      </c>
      <c r="S164" s="1">
        <v>0.1</v>
      </c>
      <c r="T164" s="1">
        <v>0.1</v>
      </c>
    </row>
    <row r="165" spans="10:20" x14ac:dyDescent="0.25">
      <c r="J165" s="7">
        <f t="shared" si="2"/>
        <v>45455</v>
      </c>
      <c r="K165" s="1">
        <v>0.1</v>
      </c>
      <c r="L165" s="1">
        <v>0.1</v>
      </c>
      <c r="M165" s="1">
        <v>0.1</v>
      </c>
      <c r="N165" s="1">
        <v>0.1</v>
      </c>
      <c r="O165" s="1">
        <v>0.1</v>
      </c>
      <c r="P165" s="1">
        <v>0.1</v>
      </c>
      <c r="Q165" s="1">
        <v>0.1</v>
      </c>
      <c r="R165" s="1">
        <v>0.1</v>
      </c>
      <c r="S165" s="1">
        <v>0.1</v>
      </c>
      <c r="T165" s="1">
        <v>0.1</v>
      </c>
    </row>
    <row r="166" spans="10:20" x14ac:dyDescent="0.25">
      <c r="J166" s="7">
        <f t="shared" si="2"/>
        <v>45456</v>
      </c>
      <c r="K166" s="1">
        <v>0.1</v>
      </c>
      <c r="L166" s="1">
        <v>0.1</v>
      </c>
      <c r="M166" s="1">
        <v>0.1</v>
      </c>
      <c r="N166" s="1">
        <v>0.1</v>
      </c>
      <c r="O166" s="1">
        <v>0.1</v>
      </c>
      <c r="P166" s="1">
        <v>0.1</v>
      </c>
      <c r="Q166" s="1">
        <v>0.1</v>
      </c>
      <c r="R166" s="1">
        <v>0.1</v>
      </c>
      <c r="S166" s="1">
        <v>0.1</v>
      </c>
      <c r="T166" s="1">
        <v>0.1</v>
      </c>
    </row>
    <row r="167" spans="10:20" x14ac:dyDescent="0.25">
      <c r="J167" s="7">
        <f t="shared" si="2"/>
        <v>45457</v>
      </c>
      <c r="K167" s="1">
        <v>0.1</v>
      </c>
      <c r="L167" s="1">
        <v>0.1</v>
      </c>
      <c r="M167" s="1">
        <v>0.1</v>
      </c>
      <c r="N167" s="1">
        <v>0.1</v>
      </c>
      <c r="O167" s="1">
        <v>0.1</v>
      </c>
      <c r="P167" s="1">
        <v>0.1</v>
      </c>
      <c r="Q167" s="1">
        <v>0.1</v>
      </c>
      <c r="R167" s="1">
        <v>0.1</v>
      </c>
      <c r="S167" s="1">
        <v>0.1</v>
      </c>
      <c r="T167" s="1">
        <v>0.1</v>
      </c>
    </row>
    <row r="168" spans="10:20" x14ac:dyDescent="0.25">
      <c r="J168" s="7">
        <f t="shared" si="2"/>
        <v>45458</v>
      </c>
      <c r="K168" s="1">
        <v>0.1</v>
      </c>
      <c r="L168" s="1">
        <v>0.1</v>
      </c>
      <c r="M168" s="1">
        <v>0.1</v>
      </c>
      <c r="N168" s="1">
        <v>0.1</v>
      </c>
      <c r="O168" s="1">
        <v>0.1</v>
      </c>
      <c r="P168" s="1">
        <v>0.1</v>
      </c>
      <c r="Q168" s="1">
        <v>0.1</v>
      </c>
      <c r="R168" s="1">
        <v>0.1</v>
      </c>
      <c r="S168" s="1">
        <v>0.1</v>
      </c>
      <c r="T168" s="1">
        <v>0.1</v>
      </c>
    </row>
    <row r="169" spans="10:20" x14ac:dyDescent="0.25">
      <c r="J169" s="7">
        <f t="shared" si="2"/>
        <v>45459</v>
      </c>
      <c r="K169" s="1">
        <v>0.1</v>
      </c>
      <c r="L169" s="1">
        <v>0.1</v>
      </c>
      <c r="M169" s="1">
        <v>0.1</v>
      </c>
      <c r="N169" s="1">
        <v>0.1</v>
      </c>
      <c r="O169" s="1">
        <v>0.1</v>
      </c>
      <c r="P169" s="1">
        <v>0.1</v>
      </c>
      <c r="Q169" s="1">
        <v>0.1</v>
      </c>
      <c r="R169" s="1">
        <v>0.1</v>
      </c>
      <c r="S169" s="1">
        <v>0.1</v>
      </c>
      <c r="T169" s="1">
        <v>0.1</v>
      </c>
    </row>
    <row r="170" spans="10:20" x14ac:dyDescent="0.25">
      <c r="J170" s="7">
        <f t="shared" si="2"/>
        <v>45460</v>
      </c>
      <c r="K170" s="1">
        <v>0.1</v>
      </c>
      <c r="L170" s="1">
        <v>0.1</v>
      </c>
      <c r="M170" s="1">
        <v>0.1</v>
      </c>
      <c r="N170" s="1">
        <v>0.1</v>
      </c>
      <c r="O170" s="1">
        <v>0.1</v>
      </c>
      <c r="P170" s="1">
        <v>0.1</v>
      </c>
      <c r="Q170" s="1">
        <v>0.1</v>
      </c>
      <c r="R170" s="1">
        <v>0.1</v>
      </c>
      <c r="S170" s="1">
        <v>0.1</v>
      </c>
      <c r="T170" s="1">
        <v>0.1</v>
      </c>
    </row>
    <row r="171" spans="10:20" x14ac:dyDescent="0.25">
      <c r="J171" s="7">
        <f t="shared" si="2"/>
        <v>45461</v>
      </c>
      <c r="K171" s="1">
        <v>0.1</v>
      </c>
      <c r="L171" s="1">
        <v>0.1</v>
      </c>
      <c r="M171" s="1">
        <v>0.1</v>
      </c>
      <c r="N171" s="1">
        <v>0.1</v>
      </c>
      <c r="O171" s="1">
        <v>0.1</v>
      </c>
      <c r="P171" s="1">
        <v>0.1</v>
      </c>
      <c r="Q171" s="1">
        <v>0.1</v>
      </c>
      <c r="R171" s="1">
        <v>0.1</v>
      </c>
      <c r="S171" s="1">
        <v>0.1</v>
      </c>
      <c r="T171" s="1">
        <v>0.1</v>
      </c>
    </row>
    <row r="172" spans="10:20" x14ac:dyDescent="0.25">
      <c r="J172" s="7">
        <f t="shared" si="2"/>
        <v>45462</v>
      </c>
      <c r="K172" s="1">
        <v>0.1</v>
      </c>
      <c r="L172" s="1">
        <v>0.1</v>
      </c>
      <c r="M172" s="1">
        <v>0.1</v>
      </c>
      <c r="N172" s="1">
        <v>0.1</v>
      </c>
      <c r="O172" s="1">
        <v>0.1</v>
      </c>
      <c r="P172" s="1">
        <v>0.1</v>
      </c>
      <c r="Q172" s="1">
        <v>0.1</v>
      </c>
      <c r="R172" s="1">
        <v>0.1</v>
      </c>
      <c r="S172" s="1">
        <v>0.1</v>
      </c>
      <c r="T172" s="1">
        <v>0.1</v>
      </c>
    </row>
    <row r="173" spans="10:20" x14ac:dyDescent="0.25">
      <c r="J173" s="7">
        <f t="shared" si="2"/>
        <v>45463</v>
      </c>
      <c r="K173" s="1">
        <v>0.1</v>
      </c>
      <c r="L173" s="1">
        <v>0.1</v>
      </c>
      <c r="M173" s="1">
        <v>0.1</v>
      </c>
      <c r="N173" s="1">
        <v>0.1</v>
      </c>
      <c r="O173" s="1">
        <v>0.1</v>
      </c>
      <c r="P173" s="1">
        <v>0.1</v>
      </c>
      <c r="Q173" s="1">
        <v>0.1</v>
      </c>
      <c r="R173" s="1">
        <v>0.1</v>
      </c>
      <c r="S173" s="1">
        <v>0.1</v>
      </c>
      <c r="T173" s="1">
        <v>0.1</v>
      </c>
    </row>
    <row r="174" spans="10:20" x14ac:dyDescent="0.25">
      <c r="J174" s="7">
        <f t="shared" si="2"/>
        <v>45464</v>
      </c>
      <c r="K174" s="1">
        <v>0.1</v>
      </c>
      <c r="L174" s="1">
        <v>0.1</v>
      </c>
      <c r="M174" s="1">
        <v>0.1</v>
      </c>
      <c r="N174" s="1">
        <v>0.1</v>
      </c>
      <c r="O174" s="1">
        <v>0.1</v>
      </c>
      <c r="P174" s="1">
        <v>0.1</v>
      </c>
      <c r="Q174" s="1">
        <v>0.1</v>
      </c>
      <c r="R174" s="1">
        <v>0.1</v>
      </c>
      <c r="S174" s="1">
        <v>0.1</v>
      </c>
      <c r="T174" s="1">
        <v>0.1</v>
      </c>
    </row>
    <row r="175" spans="10:20" x14ac:dyDescent="0.25">
      <c r="J175" s="7">
        <f t="shared" si="2"/>
        <v>45465</v>
      </c>
      <c r="K175" s="1">
        <v>0.1</v>
      </c>
      <c r="L175" s="1">
        <v>0.1</v>
      </c>
      <c r="M175" s="1">
        <v>0.1</v>
      </c>
      <c r="N175" s="1">
        <v>0.1</v>
      </c>
      <c r="O175" s="1">
        <v>0.1</v>
      </c>
      <c r="P175" s="1">
        <v>0.1</v>
      </c>
      <c r="Q175" s="1">
        <v>0.1</v>
      </c>
      <c r="R175" s="1">
        <v>0.1</v>
      </c>
      <c r="S175" s="1">
        <v>0.1</v>
      </c>
      <c r="T175" s="1">
        <v>0.1</v>
      </c>
    </row>
    <row r="176" spans="10:20" x14ac:dyDescent="0.25">
      <c r="J176" s="7">
        <f t="shared" si="2"/>
        <v>45466</v>
      </c>
      <c r="K176" s="1">
        <v>0.1</v>
      </c>
      <c r="L176" s="1">
        <v>0.1</v>
      </c>
      <c r="M176" s="1">
        <v>0.1</v>
      </c>
      <c r="N176" s="1">
        <v>0.1</v>
      </c>
      <c r="O176" s="1">
        <v>0.1</v>
      </c>
      <c r="P176" s="1">
        <v>0.1</v>
      </c>
      <c r="Q176" s="1">
        <v>0.1</v>
      </c>
      <c r="R176" s="1">
        <v>0.1</v>
      </c>
      <c r="S176" s="1">
        <v>0.1</v>
      </c>
      <c r="T176" s="1">
        <v>0.1</v>
      </c>
    </row>
    <row r="177" spans="10:20" x14ac:dyDescent="0.25">
      <c r="J177" s="7">
        <f t="shared" si="2"/>
        <v>45467</v>
      </c>
      <c r="K177" s="1">
        <v>0.1</v>
      </c>
      <c r="L177" s="1">
        <v>0.1</v>
      </c>
      <c r="M177" s="1">
        <v>0.1</v>
      </c>
      <c r="N177" s="1">
        <v>0.1</v>
      </c>
      <c r="O177" s="1">
        <v>0.1</v>
      </c>
      <c r="P177" s="1">
        <v>0.1</v>
      </c>
      <c r="Q177" s="1">
        <v>0.1</v>
      </c>
      <c r="R177" s="1">
        <v>0.1</v>
      </c>
      <c r="S177" s="1">
        <v>0.1</v>
      </c>
      <c r="T177" s="1">
        <v>0.1</v>
      </c>
    </row>
    <row r="178" spans="10:20" x14ac:dyDescent="0.25">
      <c r="J178" s="7">
        <f t="shared" si="2"/>
        <v>45468</v>
      </c>
      <c r="K178" s="1">
        <v>0.1</v>
      </c>
      <c r="L178" s="1">
        <v>0.1</v>
      </c>
      <c r="M178" s="1">
        <v>0.1</v>
      </c>
      <c r="N178" s="1">
        <v>0.1</v>
      </c>
      <c r="O178" s="1">
        <v>0.1</v>
      </c>
      <c r="P178" s="1">
        <v>0.1</v>
      </c>
      <c r="Q178" s="1">
        <v>0.1</v>
      </c>
      <c r="R178" s="1">
        <v>0.1</v>
      </c>
      <c r="S178" s="1">
        <v>0.1</v>
      </c>
      <c r="T178" s="1">
        <v>0.1</v>
      </c>
    </row>
    <row r="179" spans="10:20" x14ac:dyDescent="0.25">
      <c r="J179" s="7">
        <f t="shared" si="2"/>
        <v>45469</v>
      </c>
      <c r="K179" s="1">
        <v>0.1</v>
      </c>
      <c r="L179" s="1">
        <v>0.1</v>
      </c>
      <c r="M179" s="1">
        <v>0.1</v>
      </c>
      <c r="N179" s="1">
        <v>0.1</v>
      </c>
      <c r="O179" s="1">
        <v>0.1</v>
      </c>
      <c r="P179" s="1">
        <v>0.1</v>
      </c>
      <c r="Q179" s="1">
        <v>0.1</v>
      </c>
      <c r="R179" s="1">
        <v>0.1</v>
      </c>
      <c r="S179" s="1">
        <v>0.1</v>
      </c>
      <c r="T179" s="1">
        <v>0.1</v>
      </c>
    </row>
    <row r="180" spans="10:20" x14ac:dyDescent="0.25">
      <c r="J180" s="7">
        <f t="shared" si="2"/>
        <v>45470</v>
      </c>
      <c r="K180" s="1">
        <v>0.1</v>
      </c>
      <c r="L180" s="1">
        <v>0.1</v>
      </c>
      <c r="M180" s="1">
        <v>0.1</v>
      </c>
      <c r="N180" s="1">
        <v>0.1</v>
      </c>
      <c r="O180" s="1">
        <v>0.1</v>
      </c>
      <c r="P180" s="1">
        <v>0.1</v>
      </c>
      <c r="Q180" s="1">
        <v>0.1</v>
      </c>
      <c r="R180" s="1">
        <v>0.1</v>
      </c>
      <c r="S180" s="1">
        <v>0.1</v>
      </c>
      <c r="T180" s="1">
        <v>0.1</v>
      </c>
    </row>
    <row r="181" spans="10:20" x14ac:dyDescent="0.25">
      <c r="J181" s="7">
        <f t="shared" si="2"/>
        <v>45471</v>
      </c>
      <c r="K181" s="1">
        <v>0.1</v>
      </c>
      <c r="L181" s="1">
        <v>0.1</v>
      </c>
      <c r="M181" s="1">
        <v>0.1</v>
      </c>
      <c r="N181" s="1">
        <v>0.1</v>
      </c>
      <c r="O181" s="1">
        <v>0.1</v>
      </c>
      <c r="P181" s="1">
        <v>0.1</v>
      </c>
      <c r="Q181" s="1">
        <v>0.1</v>
      </c>
      <c r="R181" s="1">
        <v>0.1</v>
      </c>
      <c r="S181" s="1">
        <v>0.1</v>
      </c>
      <c r="T181" s="1">
        <v>0.1</v>
      </c>
    </row>
    <row r="182" spans="10:20" x14ac:dyDescent="0.25">
      <c r="J182" s="7">
        <f t="shared" si="2"/>
        <v>45472</v>
      </c>
      <c r="K182" s="1">
        <v>0.1</v>
      </c>
      <c r="L182" s="1">
        <v>0.1</v>
      </c>
      <c r="M182" s="1">
        <v>0.1</v>
      </c>
      <c r="N182" s="1">
        <v>0.1</v>
      </c>
      <c r="O182" s="1">
        <v>0.1</v>
      </c>
      <c r="P182" s="1">
        <v>0.1</v>
      </c>
      <c r="Q182" s="1">
        <v>0.1</v>
      </c>
      <c r="R182" s="1">
        <v>0.1</v>
      </c>
      <c r="S182" s="1">
        <v>0.1</v>
      </c>
      <c r="T182" s="1">
        <v>0.1</v>
      </c>
    </row>
    <row r="183" spans="10:20" x14ac:dyDescent="0.25">
      <c r="J183" s="7">
        <f t="shared" si="2"/>
        <v>45473</v>
      </c>
      <c r="K183" s="1">
        <v>0.1</v>
      </c>
      <c r="L183" s="1">
        <v>0.1</v>
      </c>
      <c r="M183" s="1">
        <v>0.1</v>
      </c>
      <c r="N183" s="1">
        <v>0.1</v>
      </c>
      <c r="O183" s="1">
        <v>0.1</v>
      </c>
      <c r="P183" s="1">
        <v>0.1</v>
      </c>
      <c r="Q183" s="1">
        <v>0.1</v>
      </c>
      <c r="R183" s="1">
        <v>0.1</v>
      </c>
      <c r="S183" s="1">
        <v>0.1</v>
      </c>
      <c r="T183" s="1">
        <v>0.1</v>
      </c>
    </row>
    <row r="184" spans="10:20" x14ac:dyDescent="0.25">
      <c r="J184" s="7">
        <f t="shared" si="2"/>
        <v>45474</v>
      </c>
      <c r="K184" s="1">
        <v>0.1</v>
      </c>
      <c r="L184" s="1">
        <v>0.1</v>
      </c>
      <c r="M184" s="1">
        <v>0.1</v>
      </c>
      <c r="N184" s="1">
        <v>0.1</v>
      </c>
      <c r="O184" s="1">
        <v>0.1</v>
      </c>
      <c r="P184" s="1">
        <v>0.1</v>
      </c>
      <c r="Q184" s="1">
        <v>0.1</v>
      </c>
      <c r="R184" s="1">
        <v>0.1</v>
      </c>
      <c r="S184" s="1">
        <v>0.1</v>
      </c>
      <c r="T184" s="1">
        <v>0.1</v>
      </c>
    </row>
    <row r="185" spans="10:20" x14ac:dyDescent="0.25">
      <c r="J185" s="7">
        <f t="shared" si="2"/>
        <v>45475</v>
      </c>
      <c r="K185" s="1">
        <v>0.1</v>
      </c>
      <c r="L185" s="1">
        <v>0.1</v>
      </c>
      <c r="M185" s="1">
        <v>0.1</v>
      </c>
      <c r="N185" s="1">
        <v>0.1</v>
      </c>
      <c r="O185" s="1">
        <v>0.1</v>
      </c>
      <c r="P185" s="1">
        <v>0.1</v>
      </c>
      <c r="Q185" s="1">
        <v>0.1</v>
      </c>
      <c r="R185" s="1">
        <v>0.1</v>
      </c>
      <c r="S185" s="1">
        <v>0.1</v>
      </c>
      <c r="T185" s="1">
        <v>0.1</v>
      </c>
    </row>
    <row r="186" spans="10:20" x14ac:dyDescent="0.25">
      <c r="J186" s="7">
        <f t="shared" si="2"/>
        <v>45476</v>
      </c>
      <c r="K186" s="1">
        <v>0.1</v>
      </c>
      <c r="L186" s="1">
        <v>0.1</v>
      </c>
      <c r="M186" s="1">
        <v>0.1</v>
      </c>
      <c r="N186" s="1">
        <v>0.1</v>
      </c>
      <c r="O186" s="1">
        <v>0.1</v>
      </c>
      <c r="P186" s="1">
        <v>0.1</v>
      </c>
      <c r="Q186" s="1">
        <v>0.1</v>
      </c>
      <c r="R186" s="1">
        <v>0.1</v>
      </c>
      <c r="S186" s="1">
        <v>0.1</v>
      </c>
      <c r="T186" s="1">
        <v>0.1</v>
      </c>
    </row>
    <row r="187" spans="10:20" x14ac:dyDescent="0.25">
      <c r="J187" s="7">
        <f t="shared" si="2"/>
        <v>45477</v>
      </c>
      <c r="K187" s="1">
        <v>0.1</v>
      </c>
      <c r="L187" s="1">
        <v>0.1</v>
      </c>
      <c r="M187" s="1">
        <v>0.1</v>
      </c>
      <c r="N187" s="1">
        <v>0.1</v>
      </c>
      <c r="O187" s="1">
        <v>0.1</v>
      </c>
      <c r="P187" s="1">
        <v>0.1</v>
      </c>
      <c r="Q187" s="1">
        <v>0.1</v>
      </c>
      <c r="R187" s="1">
        <v>0.1</v>
      </c>
      <c r="S187" s="1">
        <v>0.1</v>
      </c>
      <c r="T187" s="1">
        <v>0.1</v>
      </c>
    </row>
    <row r="188" spans="10:20" x14ac:dyDescent="0.25">
      <c r="J188" s="7">
        <f t="shared" si="2"/>
        <v>45478</v>
      </c>
      <c r="K188" s="1">
        <v>0.1</v>
      </c>
      <c r="L188" s="1">
        <v>0.1</v>
      </c>
      <c r="M188" s="1">
        <v>0.1</v>
      </c>
      <c r="N188" s="1">
        <v>0.1</v>
      </c>
      <c r="O188" s="1">
        <v>0.1</v>
      </c>
      <c r="P188" s="1">
        <v>0.1</v>
      </c>
      <c r="Q188" s="1">
        <v>0.1</v>
      </c>
      <c r="R188" s="1">
        <v>0.1</v>
      </c>
      <c r="S188" s="1">
        <v>0.1</v>
      </c>
      <c r="T188" s="1">
        <v>0.1</v>
      </c>
    </row>
    <row r="189" spans="10:20" x14ac:dyDescent="0.25">
      <c r="J189" s="7">
        <f t="shared" si="2"/>
        <v>45479</v>
      </c>
      <c r="K189" s="1">
        <v>0.1</v>
      </c>
      <c r="L189" s="1">
        <v>0.1</v>
      </c>
      <c r="M189" s="1">
        <v>0.1</v>
      </c>
      <c r="N189" s="1">
        <v>0.1</v>
      </c>
      <c r="O189" s="1">
        <v>0.1</v>
      </c>
      <c r="P189" s="1">
        <v>0.1</v>
      </c>
      <c r="Q189" s="1">
        <v>0.1</v>
      </c>
      <c r="R189" s="1">
        <v>0.1</v>
      </c>
      <c r="S189" s="1">
        <v>0.1</v>
      </c>
      <c r="T189" s="1">
        <v>0.1</v>
      </c>
    </row>
    <row r="190" spans="10:20" x14ac:dyDescent="0.25">
      <c r="J190" s="7">
        <f t="shared" si="2"/>
        <v>45480</v>
      </c>
      <c r="K190" s="1">
        <v>0.1</v>
      </c>
      <c r="L190" s="1">
        <v>0.1</v>
      </c>
      <c r="M190" s="1">
        <v>0.1</v>
      </c>
      <c r="N190" s="1">
        <v>0.1</v>
      </c>
      <c r="O190" s="1">
        <v>0.1</v>
      </c>
      <c r="P190" s="1">
        <v>0.1</v>
      </c>
      <c r="Q190" s="1">
        <v>0.1</v>
      </c>
      <c r="R190" s="1">
        <v>0.1</v>
      </c>
      <c r="S190" s="1">
        <v>0.1</v>
      </c>
      <c r="T190" s="1">
        <v>0.1</v>
      </c>
    </row>
    <row r="191" spans="10:20" x14ac:dyDescent="0.25">
      <c r="J191" s="7">
        <f t="shared" si="2"/>
        <v>45481</v>
      </c>
      <c r="K191" s="1">
        <v>0.1</v>
      </c>
      <c r="L191" s="1">
        <v>0.1</v>
      </c>
      <c r="M191" s="1">
        <v>0.1</v>
      </c>
      <c r="N191" s="1">
        <v>0.1</v>
      </c>
      <c r="O191" s="1">
        <v>0.1</v>
      </c>
      <c r="P191" s="1">
        <v>0.1</v>
      </c>
      <c r="Q191" s="1">
        <v>0.1</v>
      </c>
      <c r="R191" s="1">
        <v>0.1</v>
      </c>
      <c r="S191" s="1">
        <v>0.1</v>
      </c>
      <c r="T191" s="1">
        <v>0.1</v>
      </c>
    </row>
    <row r="192" spans="10:20" x14ac:dyDescent="0.25">
      <c r="J192" s="7">
        <f t="shared" si="2"/>
        <v>45482</v>
      </c>
      <c r="K192" s="1">
        <v>0.1</v>
      </c>
      <c r="L192" s="1">
        <v>0.1</v>
      </c>
      <c r="M192" s="1">
        <v>0.1</v>
      </c>
      <c r="N192" s="1">
        <v>0.1</v>
      </c>
      <c r="O192" s="1">
        <v>0.1</v>
      </c>
      <c r="P192" s="1">
        <v>0.1</v>
      </c>
      <c r="Q192" s="1">
        <v>0.1</v>
      </c>
      <c r="R192" s="1">
        <v>0.1</v>
      </c>
      <c r="S192" s="1">
        <v>0.1</v>
      </c>
      <c r="T192" s="1">
        <v>0.1</v>
      </c>
    </row>
    <row r="193" spans="10:20" x14ac:dyDescent="0.25">
      <c r="J193" s="7">
        <f t="shared" si="2"/>
        <v>45483</v>
      </c>
      <c r="K193" s="1">
        <v>0.1</v>
      </c>
      <c r="L193" s="1">
        <v>0.1</v>
      </c>
      <c r="M193" s="1">
        <v>0.1</v>
      </c>
      <c r="N193" s="1">
        <v>0.1</v>
      </c>
      <c r="O193" s="1">
        <v>0.1</v>
      </c>
      <c r="P193" s="1">
        <v>0.1</v>
      </c>
      <c r="Q193" s="1">
        <v>0.1</v>
      </c>
      <c r="R193" s="1">
        <v>0.1</v>
      </c>
      <c r="S193" s="1">
        <v>0.1</v>
      </c>
      <c r="T193" s="1">
        <v>0.1</v>
      </c>
    </row>
    <row r="194" spans="10:20" x14ac:dyDescent="0.25">
      <c r="J194" s="7">
        <f t="shared" si="2"/>
        <v>45484</v>
      </c>
      <c r="K194" s="1">
        <v>0.1</v>
      </c>
      <c r="L194" s="1">
        <v>0.1</v>
      </c>
      <c r="M194" s="1">
        <v>0.1</v>
      </c>
      <c r="N194" s="1">
        <v>0.1</v>
      </c>
      <c r="O194" s="1">
        <v>0.1</v>
      </c>
      <c r="P194" s="1">
        <v>0.1</v>
      </c>
      <c r="Q194" s="1">
        <v>0.1</v>
      </c>
      <c r="R194" s="1">
        <v>0.1</v>
      </c>
      <c r="S194" s="1">
        <v>0.1</v>
      </c>
      <c r="T194" s="1">
        <v>0.1</v>
      </c>
    </row>
    <row r="195" spans="10:20" x14ac:dyDescent="0.25">
      <c r="J195" s="7">
        <f t="shared" si="2"/>
        <v>45485</v>
      </c>
      <c r="K195" s="1">
        <v>0.1</v>
      </c>
      <c r="L195" s="1">
        <v>0.1</v>
      </c>
      <c r="M195" s="1">
        <v>0.1</v>
      </c>
      <c r="N195" s="1">
        <v>0.1</v>
      </c>
      <c r="O195" s="1">
        <v>0.1</v>
      </c>
      <c r="P195" s="1">
        <v>0.1</v>
      </c>
      <c r="Q195" s="1">
        <v>0.1</v>
      </c>
      <c r="R195" s="1">
        <v>0.1</v>
      </c>
      <c r="S195" s="1">
        <v>0.1</v>
      </c>
      <c r="T195" s="1">
        <v>0.1</v>
      </c>
    </row>
    <row r="196" spans="10:20" x14ac:dyDescent="0.25">
      <c r="J196" s="7">
        <f t="shared" si="2"/>
        <v>45486</v>
      </c>
      <c r="K196" s="1">
        <v>0.1</v>
      </c>
      <c r="L196" s="1">
        <v>0.1</v>
      </c>
      <c r="M196" s="1">
        <v>0.1</v>
      </c>
      <c r="N196" s="1">
        <v>0.1</v>
      </c>
      <c r="O196" s="1">
        <v>0.1</v>
      </c>
      <c r="P196" s="1">
        <v>0.1</v>
      </c>
      <c r="Q196" s="1">
        <v>0.1</v>
      </c>
      <c r="R196" s="1">
        <v>0.1</v>
      </c>
      <c r="S196" s="1">
        <v>0.1</v>
      </c>
      <c r="T196" s="1">
        <v>0.1</v>
      </c>
    </row>
    <row r="197" spans="10:20" x14ac:dyDescent="0.25">
      <c r="J197" s="7">
        <f t="shared" ref="J197:J239" si="3">J196+1</f>
        <v>45487</v>
      </c>
      <c r="K197" s="1">
        <v>0.1</v>
      </c>
      <c r="L197" s="1">
        <v>0.1</v>
      </c>
      <c r="M197" s="1">
        <v>0.1</v>
      </c>
      <c r="N197" s="1">
        <v>0.1</v>
      </c>
      <c r="O197" s="1">
        <v>0.1</v>
      </c>
      <c r="P197" s="1">
        <v>0.1</v>
      </c>
      <c r="Q197" s="1">
        <v>0.1</v>
      </c>
      <c r="R197" s="1">
        <v>0.1</v>
      </c>
      <c r="S197" s="1">
        <v>0.1</v>
      </c>
      <c r="T197" s="1">
        <v>0.1</v>
      </c>
    </row>
    <row r="198" spans="10:20" x14ac:dyDescent="0.25">
      <c r="J198" s="7">
        <f t="shared" si="3"/>
        <v>45488</v>
      </c>
      <c r="K198" s="1">
        <v>0.1</v>
      </c>
      <c r="L198" s="1">
        <v>0.1</v>
      </c>
      <c r="M198" s="1">
        <v>0.1</v>
      </c>
      <c r="N198" s="1">
        <v>0.1</v>
      </c>
      <c r="O198" s="1">
        <v>0.1</v>
      </c>
      <c r="P198" s="1">
        <v>0.1</v>
      </c>
      <c r="Q198" s="1">
        <v>0.1</v>
      </c>
      <c r="R198" s="1">
        <v>0.1</v>
      </c>
      <c r="S198" s="1">
        <v>0.1</v>
      </c>
      <c r="T198" s="1">
        <v>0.1</v>
      </c>
    </row>
    <row r="199" spans="10:20" x14ac:dyDescent="0.25">
      <c r="J199" s="7">
        <f t="shared" si="3"/>
        <v>45489</v>
      </c>
      <c r="K199" s="1">
        <v>0.1</v>
      </c>
      <c r="L199" s="1">
        <v>0.1</v>
      </c>
      <c r="M199" s="1">
        <v>0.1</v>
      </c>
      <c r="N199" s="1">
        <v>0.1</v>
      </c>
      <c r="O199" s="1">
        <v>0.1</v>
      </c>
      <c r="P199" s="1">
        <v>0.1</v>
      </c>
      <c r="Q199" s="1">
        <v>0.1</v>
      </c>
      <c r="R199" s="1">
        <v>0.1</v>
      </c>
      <c r="S199" s="1">
        <v>0.1</v>
      </c>
      <c r="T199" s="1">
        <v>0.1</v>
      </c>
    </row>
    <row r="200" spans="10:20" x14ac:dyDescent="0.25">
      <c r="J200" s="7">
        <f t="shared" si="3"/>
        <v>45490</v>
      </c>
      <c r="K200" s="1">
        <v>0.1</v>
      </c>
      <c r="L200" s="1">
        <v>0.1</v>
      </c>
      <c r="M200" s="1">
        <v>0.1</v>
      </c>
      <c r="N200" s="1">
        <v>0.1</v>
      </c>
      <c r="O200" s="1">
        <v>0.1</v>
      </c>
      <c r="P200" s="1">
        <v>0.1</v>
      </c>
      <c r="Q200" s="1">
        <v>0.1</v>
      </c>
      <c r="R200" s="1">
        <v>0.1</v>
      </c>
      <c r="S200" s="1">
        <v>0.1</v>
      </c>
      <c r="T200" s="1">
        <v>0.1</v>
      </c>
    </row>
    <row r="201" spans="10:20" x14ac:dyDescent="0.25">
      <c r="J201" s="7">
        <f t="shared" si="3"/>
        <v>45491</v>
      </c>
      <c r="K201" s="1">
        <v>0.1</v>
      </c>
      <c r="L201" s="1">
        <v>0.1</v>
      </c>
      <c r="M201" s="1">
        <v>0.1</v>
      </c>
      <c r="N201" s="1">
        <v>0.1</v>
      </c>
      <c r="O201" s="1">
        <v>0.1</v>
      </c>
      <c r="P201" s="1">
        <v>0.1</v>
      </c>
      <c r="Q201" s="1">
        <v>0.1</v>
      </c>
      <c r="R201" s="1">
        <v>0.1</v>
      </c>
      <c r="S201" s="1">
        <v>0.1</v>
      </c>
      <c r="T201" s="1">
        <v>0.1</v>
      </c>
    </row>
    <row r="202" spans="10:20" x14ac:dyDescent="0.25">
      <c r="J202" s="7">
        <f t="shared" si="3"/>
        <v>45492</v>
      </c>
      <c r="K202" s="1">
        <v>0.1</v>
      </c>
      <c r="L202" s="1">
        <v>0.1</v>
      </c>
      <c r="M202" s="1">
        <v>0.1</v>
      </c>
      <c r="N202" s="1">
        <v>0.1</v>
      </c>
      <c r="O202" s="1">
        <v>0.1</v>
      </c>
      <c r="P202" s="1">
        <v>0.1</v>
      </c>
      <c r="Q202" s="1">
        <v>0.1</v>
      </c>
      <c r="R202" s="1">
        <v>0.1</v>
      </c>
      <c r="S202" s="1">
        <v>0.1</v>
      </c>
      <c r="T202" s="1">
        <v>0.1</v>
      </c>
    </row>
    <row r="203" spans="10:20" x14ac:dyDescent="0.25">
      <c r="J203" s="7">
        <f t="shared" si="3"/>
        <v>45493</v>
      </c>
      <c r="K203" s="1">
        <v>0.1</v>
      </c>
      <c r="L203" s="1">
        <v>0.1</v>
      </c>
      <c r="M203" s="1">
        <v>0.1</v>
      </c>
      <c r="N203" s="1">
        <v>0.1</v>
      </c>
      <c r="O203" s="1">
        <v>0.1</v>
      </c>
      <c r="P203" s="1">
        <v>0.1</v>
      </c>
      <c r="Q203" s="1">
        <v>0.1</v>
      </c>
      <c r="R203" s="1">
        <v>0.1</v>
      </c>
      <c r="S203" s="1">
        <v>0.1</v>
      </c>
      <c r="T203" s="1">
        <v>0.1</v>
      </c>
    </row>
    <row r="204" spans="10:20" x14ac:dyDescent="0.25">
      <c r="J204" s="7">
        <f t="shared" si="3"/>
        <v>45494</v>
      </c>
      <c r="K204" s="1">
        <v>0.1</v>
      </c>
      <c r="L204" s="1">
        <v>0.1</v>
      </c>
      <c r="M204" s="1">
        <v>0.1</v>
      </c>
      <c r="N204" s="1">
        <v>0.1</v>
      </c>
      <c r="O204" s="1">
        <v>0.1</v>
      </c>
      <c r="P204" s="1">
        <v>0.1</v>
      </c>
      <c r="Q204" s="1">
        <v>0.1</v>
      </c>
      <c r="R204" s="1">
        <v>0.1</v>
      </c>
      <c r="S204" s="1">
        <v>0.1</v>
      </c>
      <c r="T204" s="1">
        <v>0.1</v>
      </c>
    </row>
    <row r="205" spans="10:20" x14ac:dyDescent="0.25">
      <c r="J205" s="7">
        <f t="shared" si="3"/>
        <v>45495</v>
      </c>
      <c r="K205" s="1">
        <v>0.1</v>
      </c>
      <c r="L205" s="1">
        <v>0.1</v>
      </c>
      <c r="M205" s="1">
        <v>0.1</v>
      </c>
      <c r="N205" s="1">
        <v>0.1</v>
      </c>
      <c r="O205" s="1">
        <v>0.1</v>
      </c>
      <c r="P205" s="1">
        <v>0.1</v>
      </c>
      <c r="Q205" s="1">
        <v>0.1</v>
      </c>
      <c r="R205" s="1">
        <v>0.1</v>
      </c>
      <c r="S205" s="1">
        <v>0.1</v>
      </c>
      <c r="T205" s="1">
        <v>0.1</v>
      </c>
    </row>
    <row r="206" spans="10:20" x14ac:dyDescent="0.25">
      <c r="J206" s="7">
        <f t="shared" si="3"/>
        <v>45496</v>
      </c>
      <c r="K206" s="1">
        <v>0.1</v>
      </c>
      <c r="L206" s="1">
        <v>0.1</v>
      </c>
      <c r="M206" s="1">
        <v>0.1</v>
      </c>
      <c r="N206" s="1">
        <v>0.1</v>
      </c>
      <c r="O206" s="1">
        <v>0.1</v>
      </c>
      <c r="P206" s="1">
        <v>0.1</v>
      </c>
      <c r="Q206" s="1">
        <v>0.1</v>
      </c>
      <c r="R206" s="1">
        <v>0.1</v>
      </c>
      <c r="S206" s="1">
        <v>0.1</v>
      </c>
      <c r="T206" s="1">
        <v>0.1</v>
      </c>
    </row>
    <row r="207" spans="10:20" x14ac:dyDescent="0.25">
      <c r="J207" s="7">
        <f t="shared" si="3"/>
        <v>45497</v>
      </c>
      <c r="K207" s="1">
        <v>0.1</v>
      </c>
      <c r="L207" s="1">
        <v>0.1</v>
      </c>
      <c r="M207" s="1">
        <v>0.1</v>
      </c>
      <c r="N207" s="1">
        <v>0.1</v>
      </c>
      <c r="O207" s="1">
        <v>0.1</v>
      </c>
      <c r="P207" s="1">
        <v>0.1</v>
      </c>
      <c r="Q207" s="1">
        <v>0.1</v>
      </c>
      <c r="R207" s="1">
        <v>0.1</v>
      </c>
      <c r="S207" s="1">
        <v>0.1</v>
      </c>
      <c r="T207" s="1">
        <v>0.1</v>
      </c>
    </row>
    <row r="208" spans="10:20" x14ac:dyDescent="0.25">
      <c r="J208" s="7">
        <f t="shared" si="3"/>
        <v>45498</v>
      </c>
      <c r="K208" s="1">
        <v>0.1</v>
      </c>
      <c r="L208" s="1">
        <v>0.1</v>
      </c>
      <c r="M208" s="1">
        <v>0.1</v>
      </c>
      <c r="N208" s="1">
        <v>0.1</v>
      </c>
      <c r="O208" s="1">
        <v>0.1</v>
      </c>
      <c r="P208" s="1">
        <v>0.1</v>
      </c>
      <c r="Q208" s="1">
        <v>0.1</v>
      </c>
      <c r="R208" s="1">
        <v>0.1</v>
      </c>
      <c r="S208" s="1">
        <v>0.1</v>
      </c>
      <c r="T208" s="1">
        <v>0.1</v>
      </c>
    </row>
    <row r="209" spans="10:20" x14ac:dyDescent="0.25">
      <c r="J209" s="7">
        <f t="shared" si="3"/>
        <v>45499</v>
      </c>
      <c r="K209" s="1">
        <v>0.1</v>
      </c>
      <c r="L209" s="1">
        <v>0.1</v>
      </c>
      <c r="M209" s="1">
        <v>0.1</v>
      </c>
      <c r="N209" s="1">
        <v>0.1</v>
      </c>
      <c r="O209" s="1">
        <v>0.1</v>
      </c>
      <c r="P209" s="1">
        <v>0.1</v>
      </c>
      <c r="Q209" s="1">
        <v>0.1</v>
      </c>
      <c r="R209" s="1">
        <v>0.1</v>
      </c>
      <c r="S209" s="1">
        <v>0.1</v>
      </c>
      <c r="T209" s="1">
        <v>0.1</v>
      </c>
    </row>
    <row r="210" spans="10:20" x14ac:dyDescent="0.25">
      <c r="J210" s="7">
        <f t="shared" si="3"/>
        <v>45500</v>
      </c>
      <c r="K210" s="1">
        <v>0.1</v>
      </c>
      <c r="L210" s="1">
        <v>0.1</v>
      </c>
      <c r="M210" s="1">
        <v>0.1</v>
      </c>
      <c r="N210" s="1">
        <v>0.1</v>
      </c>
      <c r="O210" s="1">
        <v>0.1</v>
      </c>
      <c r="P210" s="1">
        <v>0.1</v>
      </c>
      <c r="Q210" s="1">
        <v>0.1</v>
      </c>
      <c r="R210" s="1">
        <v>0.1</v>
      </c>
      <c r="S210" s="1">
        <v>0.1</v>
      </c>
      <c r="T210" s="1">
        <v>0.1</v>
      </c>
    </row>
    <row r="211" spans="10:20" x14ac:dyDescent="0.25">
      <c r="J211" s="7">
        <f t="shared" si="3"/>
        <v>45501</v>
      </c>
      <c r="K211" s="1">
        <v>0.1</v>
      </c>
      <c r="L211" s="1">
        <v>0.1</v>
      </c>
      <c r="M211" s="1">
        <v>0.1</v>
      </c>
      <c r="N211" s="1">
        <v>0.1</v>
      </c>
      <c r="O211" s="1">
        <v>0.1</v>
      </c>
      <c r="P211" s="1">
        <v>0.1</v>
      </c>
      <c r="Q211" s="1">
        <v>0.1</v>
      </c>
      <c r="R211" s="1">
        <v>0.1</v>
      </c>
      <c r="S211" s="1">
        <v>0.1</v>
      </c>
      <c r="T211" s="1">
        <v>0.1</v>
      </c>
    </row>
    <row r="212" spans="10:20" x14ac:dyDescent="0.25">
      <c r="J212" s="7">
        <f t="shared" si="3"/>
        <v>45502</v>
      </c>
      <c r="K212" s="1">
        <v>0.1</v>
      </c>
      <c r="L212" s="1">
        <v>0.1</v>
      </c>
      <c r="M212" s="1">
        <v>0.1</v>
      </c>
      <c r="N212" s="1">
        <v>0.1</v>
      </c>
      <c r="O212" s="1">
        <v>0.1</v>
      </c>
      <c r="P212" s="1">
        <v>0.1</v>
      </c>
      <c r="Q212" s="1">
        <v>0.1</v>
      </c>
      <c r="R212" s="1">
        <v>0.1</v>
      </c>
      <c r="S212" s="1">
        <v>0.1</v>
      </c>
      <c r="T212" s="1">
        <v>0.1</v>
      </c>
    </row>
    <row r="213" spans="10:20" x14ac:dyDescent="0.25">
      <c r="J213" s="7">
        <f t="shared" si="3"/>
        <v>45503</v>
      </c>
      <c r="K213" s="1">
        <v>0.1</v>
      </c>
      <c r="L213" s="1">
        <v>0.1</v>
      </c>
      <c r="M213" s="1">
        <v>0.1</v>
      </c>
      <c r="N213" s="1">
        <v>0.1</v>
      </c>
      <c r="O213" s="1">
        <v>0.1</v>
      </c>
      <c r="P213" s="1">
        <v>0.1</v>
      </c>
      <c r="Q213" s="1">
        <v>0.1</v>
      </c>
      <c r="R213" s="1">
        <v>0.1</v>
      </c>
      <c r="S213" s="1">
        <v>0.1</v>
      </c>
      <c r="T213" s="1">
        <v>0.1</v>
      </c>
    </row>
    <row r="214" spans="10:20" x14ac:dyDescent="0.25">
      <c r="J214" s="7">
        <f t="shared" si="3"/>
        <v>45504</v>
      </c>
      <c r="K214" s="1">
        <v>0.1</v>
      </c>
      <c r="L214" s="1">
        <v>0.1</v>
      </c>
      <c r="M214" s="1">
        <v>0.1</v>
      </c>
      <c r="N214" s="1">
        <v>0.1</v>
      </c>
      <c r="O214" s="1">
        <v>0.1</v>
      </c>
      <c r="P214" s="1">
        <v>0.1</v>
      </c>
      <c r="Q214" s="1">
        <v>0.1</v>
      </c>
      <c r="R214" s="1">
        <v>0.1</v>
      </c>
      <c r="S214" s="1">
        <v>0.1</v>
      </c>
      <c r="T214" s="1">
        <v>0.1</v>
      </c>
    </row>
    <row r="215" spans="10:20" x14ac:dyDescent="0.25">
      <c r="J215" s="7">
        <f t="shared" si="3"/>
        <v>45505</v>
      </c>
      <c r="K215" s="1">
        <v>0.1</v>
      </c>
      <c r="L215" s="1">
        <v>0.1</v>
      </c>
      <c r="M215" s="1">
        <v>0.1</v>
      </c>
      <c r="N215" s="1">
        <v>0.1</v>
      </c>
      <c r="O215" s="1">
        <v>0.1</v>
      </c>
      <c r="P215" s="1">
        <v>0.1</v>
      </c>
      <c r="Q215" s="1">
        <v>0.1</v>
      </c>
      <c r="R215" s="1">
        <v>0.1</v>
      </c>
      <c r="S215" s="1">
        <v>0.1</v>
      </c>
      <c r="T215" s="1">
        <v>0.1</v>
      </c>
    </row>
    <row r="216" spans="10:20" x14ac:dyDescent="0.25">
      <c r="J216" s="7">
        <f t="shared" si="3"/>
        <v>45506</v>
      </c>
      <c r="K216" s="1">
        <v>0.1</v>
      </c>
      <c r="L216" s="1">
        <v>0.1</v>
      </c>
      <c r="M216" s="1">
        <v>0.1</v>
      </c>
      <c r="N216" s="1">
        <v>0.1</v>
      </c>
      <c r="O216" s="1">
        <v>0.1</v>
      </c>
      <c r="P216" s="1">
        <v>0.1</v>
      </c>
      <c r="Q216" s="1">
        <v>0.1</v>
      </c>
      <c r="R216" s="1">
        <v>0.1</v>
      </c>
      <c r="S216" s="1">
        <v>0.1</v>
      </c>
      <c r="T216" s="1">
        <v>0.1</v>
      </c>
    </row>
    <row r="217" spans="10:20" x14ac:dyDescent="0.25">
      <c r="J217" s="7">
        <f t="shared" si="3"/>
        <v>45507</v>
      </c>
      <c r="K217" s="1">
        <v>0.1</v>
      </c>
      <c r="L217" s="1">
        <v>0.1</v>
      </c>
      <c r="M217" s="1">
        <v>0.1</v>
      </c>
      <c r="N217" s="1">
        <v>0.1</v>
      </c>
      <c r="O217" s="1">
        <v>0.1</v>
      </c>
      <c r="P217" s="1">
        <v>0.1</v>
      </c>
      <c r="Q217" s="1">
        <v>0.1</v>
      </c>
      <c r="R217" s="1">
        <v>0.1</v>
      </c>
      <c r="S217" s="1">
        <v>0.1</v>
      </c>
      <c r="T217" s="1">
        <v>0.1</v>
      </c>
    </row>
    <row r="218" spans="10:20" x14ac:dyDescent="0.25">
      <c r="J218" s="7">
        <f t="shared" si="3"/>
        <v>45508</v>
      </c>
      <c r="K218" s="1">
        <v>0.1</v>
      </c>
      <c r="L218" s="1">
        <v>0.1</v>
      </c>
      <c r="M218" s="1">
        <v>0.1</v>
      </c>
      <c r="N218" s="1">
        <v>0.1</v>
      </c>
      <c r="O218" s="1">
        <v>0.1</v>
      </c>
      <c r="P218" s="1">
        <v>0.1</v>
      </c>
      <c r="Q218" s="1">
        <v>0.1</v>
      </c>
      <c r="R218" s="1">
        <v>0.1</v>
      </c>
      <c r="S218" s="1">
        <v>0.1</v>
      </c>
      <c r="T218" s="1">
        <v>0.1</v>
      </c>
    </row>
    <row r="219" spans="10:20" x14ac:dyDescent="0.25">
      <c r="J219" s="7">
        <f t="shared" si="3"/>
        <v>45509</v>
      </c>
      <c r="K219" s="1">
        <v>0.1</v>
      </c>
      <c r="L219" s="1">
        <v>0.1</v>
      </c>
      <c r="M219" s="1">
        <v>0.1</v>
      </c>
      <c r="N219" s="1">
        <v>0.1</v>
      </c>
      <c r="O219" s="1">
        <v>0.1</v>
      </c>
      <c r="P219" s="1">
        <v>0.1</v>
      </c>
      <c r="Q219" s="1">
        <v>0.1</v>
      </c>
      <c r="R219" s="1">
        <v>0.1</v>
      </c>
      <c r="S219" s="1">
        <v>0.1</v>
      </c>
      <c r="T219" s="1">
        <v>0.1</v>
      </c>
    </row>
    <row r="220" spans="10:20" x14ac:dyDescent="0.25">
      <c r="J220" s="7">
        <f t="shared" si="3"/>
        <v>45510</v>
      </c>
      <c r="K220" s="1">
        <v>0.1</v>
      </c>
      <c r="L220" s="1">
        <v>0.1</v>
      </c>
      <c r="M220" s="1">
        <v>0.1</v>
      </c>
      <c r="N220" s="1">
        <v>0.1</v>
      </c>
      <c r="O220" s="1">
        <v>0.1</v>
      </c>
      <c r="P220" s="1">
        <v>0.1</v>
      </c>
      <c r="Q220" s="1">
        <v>0.1</v>
      </c>
      <c r="R220" s="1">
        <v>0.1</v>
      </c>
      <c r="S220" s="1">
        <v>0.1</v>
      </c>
      <c r="T220" s="1">
        <v>0.1</v>
      </c>
    </row>
    <row r="221" spans="10:20" x14ac:dyDescent="0.25">
      <c r="J221" s="7">
        <f t="shared" si="3"/>
        <v>45511</v>
      </c>
      <c r="K221" s="1">
        <v>0.1</v>
      </c>
      <c r="L221" s="1">
        <v>0.1</v>
      </c>
      <c r="M221" s="1">
        <v>0.1</v>
      </c>
      <c r="N221" s="1">
        <v>0.1</v>
      </c>
      <c r="O221" s="1">
        <v>0.1</v>
      </c>
      <c r="P221" s="1">
        <v>0.1</v>
      </c>
      <c r="Q221" s="1">
        <v>0.1</v>
      </c>
      <c r="R221" s="1">
        <v>0.1</v>
      </c>
      <c r="S221" s="1">
        <v>0.1</v>
      </c>
      <c r="T221" s="1">
        <v>0.1</v>
      </c>
    </row>
    <row r="222" spans="10:20" x14ac:dyDescent="0.25">
      <c r="J222" s="7">
        <f t="shared" si="3"/>
        <v>45512</v>
      </c>
      <c r="K222" s="1">
        <v>0.1</v>
      </c>
      <c r="L222" s="1">
        <v>0.1</v>
      </c>
      <c r="M222" s="1">
        <v>0.1</v>
      </c>
      <c r="N222" s="1">
        <v>0.1</v>
      </c>
      <c r="O222" s="1">
        <v>0.1</v>
      </c>
      <c r="P222" s="1">
        <v>0.1</v>
      </c>
      <c r="Q222" s="1">
        <v>0.1</v>
      </c>
      <c r="R222" s="1">
        <v>0.1</v>
      </c>
      <c r="S222" s="1">
        <v>0.1</v>
      </c>
      <c r="T222" s="1">
        <v>0.1</v>
      </c>
    </row>
    <row r="223" spans="10:20" x14ac:dyDescent="0.25">
      <c r="J223" s="7">
        <f t="shared" si="3"/>
        <v>45513</v>
      </c>
      <c r="K223" s="1">
        <v>0.1</v>
      </c>
      <c r="L223" s="1">
        <v>0.1</v>
      </c>
      <c r="M223" s="1">
        <v>0.1</v>
      </c>
      <c r="N223" s="1">
        <v>0.1</v>
      </c>
      <c r="O223" s="1">
        <v>0.1</v>
      </c>
      <c r="P223" s="1">
        <v>0.1</v>
      </c>
      <c r="Q223" s="1">
        <v>0.1</v>
      </c>
      <c r="R223" s="1">
        <v>0.1</v>
      </c>
      <c r="S223" s="1">
        <v>0.1</v>
      </c>
      <c r="T223" s="1">
        <v>0.1</v>
      </c>
    </row>
    <row r="224" spans="10:20" x14ac:dyDescent="0.25">
      <c r="J224" s="7">
        <f t="shared" si="3"/>
        <v>45514</v>
      </c>
      <c r="K224" s="1">
        <v>0.1</v>
      </c>
      <c r="L224" s="1">
        <v>0.1</v>
      </c>
      <c r="M224" s="1">
        <v>0.1</v>
      </c>
      <c r="N224" s="1">
        <v>0.1</v>
      </c>
      <c r="O224" s="1">
        <v>0.1</v>
      </c>
      <c r="P224" s="1">
        <v>0.1</v>
      </c>
      <c r="Q224" s="1">
        <v>0.1</v>
      </c>
      <c r="R224" s="1">
        <v>0.1</v>
      </c>
      <c r="S224" s="1">
        <v>0.1</v>
      </c>
      <c r="T224" s="1">
        <v>0.1</v>
      </c>
    </row>
    <row r="225" spans="10:20" x14ac:dyDescent="0.25">
      <c r="J225" s="7">
        <f t="shared" si="3"/>
        <v>45515</v>
      </c>
      <c r="K225" s="1">
        <v>0.1</v>
      </c>
      <c r="L225" s="1">
        <v>0.1</v>
      </c>
      <c r="M225" s="1">
        <v>0.1</v>
      </c>
      <c r="N225" s="1">
        <v>0.1</v>
      </c>
      <c r="O225" s="1">
        <v>0.1</v>
      </c>
      <c r="P225" s="1">
        <v>0.1</v>
      </c>
      <c r="Q225" s="1">
        <v>0.1</v>
      </c>
      <c r="R225" s="1">
        <v>0.1</v>
      </c>
      <c r="S225" s="1">
        <v>0.1</v>
      </c>
      <c r="T225" s="1">
        <v>0.1</v>
      </c>
    </row>
    <row r="226" spans="10:20" x14ac:dyDescent="0.25">
      <c r="J226" s="7">
        <f t="shared" si="3"/>
        <v>45516</v>
      </c>
      <c r="K226" s="1">
        <v>0.1</v>
      </c>
      <c r="L226" s="1">
        <v>0.1</v>
      </c>
      <c r="M226" s="1">
        <v>0.1</v>
      </c>
      <c r="N226" s="1">
        <v>0.1</v>
      </c>
      <c r="O226" s="1">
        <v>0.1</v>
      </c>
      <c r="P226" s="1">
        <v>0.1</v>
      </c>
      <c r="Q226" s="1">
        <v>0.1</v>
      </c>
      <c r="R226" s="1">
        <v>0.1</v>
      </c>
      <c r="S226" s="1">
        <v>0.1</v>
      </c>
      <c r="T226" s="1">
        <v>0.1</v>
      </c>
    </row>
    <row r="227" spans="10:20" x14ac:dyDescent="0.25">
      <c r="J227" s="7">
        <f t="shared" si="3"/>
        <v>45517</v>
      </c>
      <c r="K227" s="1">
        <v>0.1</v>
      </c>
      <c r="L227" s="1">
        <v>0.1</v>
      </c>
      <c r="M227" s="1">
        <v>0.1</v>
      </c>
      <c r="N227" s="1">
        <v>0.1</v>
      </c>
      <c r="O227" s="1">
        <v>0.1</v>
      </c>
      <c r="P227" s="1">
        <v>0.1</v>
      </c>
      <c r="Q227" s="1">
        <v>0.1</v>
      </c>
      <c r="R227" s="1">
        <v>0.1</v>
      </c>
      <c r="S227" s="1">
        <v>0.1</v>
      </c>
      <c r="T227" s="1">
        <v>0.1</v>
      </c>
    </row>
    <row r="228" spans="10:20" x14ac:dyDescent="0.25">
      <c r="J228" s="7">
        <f t="shared" si="3"/>
        <v>45518</v>
      </c>
      <c r="K228" s="1">
        <v>0.1</v>
      </c>
      <c r="L228" s="1">
        <v>0.1</v>
      </c>
      <c r="M228" s="1">
        <v>0.1</v>
      </c>
      <c r="N228" s="1">
        <v>0.1</v>
      </c>
      <c r="O228" s="1">
        <v>0.1</v>
      </c>
      <c r="P228" s="1">
        <v>0.1</v>
      </c>
      <c r="Q228" s="1">
        <v>0.1</v>
      </c>
      <c r="R228" s="1">
        <v>0.1</v>
      </c>
      <c r="S228" s="1">
        <v>0.1</v>
      </c>
      <c r="T228" s="1">
        <v>0.1</v>
      </c>
    </row>
    <row r="229" spans="10:20" x14ac:dyDescent="0.25">
      <c r="J229" s="7">
        <f t="shared" si="3"/>
        <v>45519</v>
      </c>
      <c r="K229" s="1">
        <v>0.1</v>
      </c>
      <c r="L229" s="1">
        <v>0.1</v>
      </c>
      <c r="M229" s="1">
        <v>0.1</v>
      </c>
      <c r="N229" s="1">
        <v>0.1</v>
      </c>
      <c r="O229" s="1">
        <v>0.1</v>
      </c>
      <c r="P229" s="1">
        <v>0.1</v>
      </c>
      <c r="Q229" s="1">
        <v>0.1</v>
      </c>
      <c r="R229" s="1">
        <v>0.1</v>
      </c>
      <c r="S229" s="1">
        <v>0.1</v>
      </c>
      <c r="T229" s="1">
        <v>0.1</v>
      </c>
    </row>
    <row r="230" spans="10:20" x14ac:dyDescent="0.25">
      <c r="J230" s="7">
        <f t="shared" si="3"/>
        <v>45520</v>
      </c>
      <c r="K230" s="1">
        <v>0.1</v>
      </c>
      <c r="L230" s="1">
        <v>0.1</v>
      </c>
      <c r="M230" s="1">
        <v>0.1</v>
      </c>
      <c r="N230" s="1">
        <v>0.1</v>
      </c>
      <c r="O230" s="1">
        <v>0.1</v>
      </c>
      <c r="P230" s="1">
        <v>0.1</v>
      </c>
      <c r="Q230" s="1">
        <v>0.1</v>
      </c>
      <c r="R230" s="1">
        <v>0.1</v>
      </c>
      <c r="S230" s="1">
        <v>0.1</v>
      </c>
      <c r="T230" s="1">
        <v>0.1</v>
      </c>
    </row>
    <row r="231" spans="10:20" x14ac:dyDescent="0.25">
      <c r="J231" s="7">
        <f t="shared" si="3"/>
        <v>45521</v>
      </c>
      <c r="K231" s="1">
        <v>0.1</v>
      </c>
      <c r="L231" s="1">
        <v>0.1</v>
      </c>
      <c r="M231" s="1">
        <v>0.1</v>
      </c>
      <c r="N231" s="1">
        <v>0.1</v>
      </c>
      <c r="O231" s="1">
        <v>0.1</v>
      </c>
      <c r="P231" s="1">
        <v>0.1</v>
      </c>
      <c r="Q231" s="1">
        <v>0.1</v>
      </c>
      <c r="R231" s="1">
        <v>0.1</v>
      </c>
      <c r="S231" s="1">
        <v>0.1</v>
      </c>
      <c r="T231" s="1">
        <v>0.1</v>
      </c>
    </row>
    <row r="232" spans="10:20" x14ac:dyDescent="0.25">
      <c r="J232" s="7"/>
    </row>
    <row r="233" spans="10:20" x14ac:dyDescent="0.25">
      <c r="J233" s="7"/>
    </row>
    <row r="234" spans="10:20" x14ac:dyDescent="0.25">
      <c r="J234" s="7"/>
    </row>
    <row r="235" spans="10:20" x14ac:dyDescent="0.25">
      <c r="J235" s="7"/>
    </row>
    <row r="236" spans="10:20" x14ac:dyDescent="0.25">
      <c r="J236" s="7"/>
    </row>
    <row r="237" spans="10:20" x14ac:dyDescent="0.25">
      <c r="J237" s="7"/>
    </row>
    <row r="238" spans="10:20" x14ac:dyDescent="0.25">
      <c r="J238" s="7"/>
    </row>
    <row r="239" spans="10:20" x14ac:dyDescent="0.25">
      <c r="J239" s="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779CD-32C4-4062-AB50-A73A7679F59F}">
  <sheetPr codeName="Sheet2">
    <tabColor theme="9" tint="0.59999389629810485"/>
  </sheetPr>
  <dimension ref="B1:E994"/>
  <sheetViews>
    <sheetView showGridLines="0" topLeftCell="A10" workbookViewId="0">
      <selection activeCell="A30" sqref="A30"/>
    </sheetView>
  </sheetViews>
  <sheetFormatPr defaultRowHeight="15" x14ac:dyDescent="0.25"/>
  <cols>
    <col min="2" max="2" width="12.7109375" customWidth="1"/>
    <col min="3" max="3" width="14.7109375" style="10" bestFit="1" customWidth="1"/>
    <col min="4" max="4" width="11.28515625" bestFit="1" customWidth="1"/>
    <col min="13" max="14" width="10.140625" bestFit="1" customWidth="1"/>
  </cols>
  <sheetData>
    <row r="1" spans="2:4" x14ac:dyDescent="0.25">
      <c r="C1"/>
    </row>
    <row r="2" spans="2:4" x14ac:dyDescent="0.25">
      <c r="B2" s="6" t="s">
        <v>18</v>
      </c>
      <c r="C2" s="6"/>
      <c r="D2" s="3"/>
    </row>
    <row r="3" spans="2:4" x14ac:dyDescent="0.25">
      <c r="C3"/>
    </row>
    <row r="4" spans="2:4" x14ac:dyDescent="0.25">
      <c r="C4"/>
    </row>
    <row r="5" spans="2:4" x14ac:dyDescent="0.25">
      <c r="C5"/>
    </row>
    <row r="6" spans="2:4" x14ac:dyDescent="0.25">
      <c r="C6"/>
    </row>
    <row r="7" spans="2:4" x14ac:dyDescent="0.25">
      <c r="C7"/>
    </row>
    <row r="8" spans="2:4" x14ac:dyDescent="0.25">
      <c r="C8"/>
    </row>
    <row r="9" spans="2:4" x14ac:dyDescent="0.25">
      <c r="C9"/>
    </row>
    <row r="10" spans="2:4" x14ac:dyDescent="0.25">
      <c r="C10"/>
    </row>
    <row r="11" spans="2:4" x14ac:dyDescent="0.25">
      <c r="C11"/>
    </row>
    <row r="12" spans="2:4" x14ac:dyDescent="0.25">
      <c r="C12"/>
    </row>
    <row r="13" spans="2:4" x14ac:dyDescent="0.25">
      <c r="C13"/>
    </row>
    <row r="14" spans="2:4" x14ac:dyDescent="0.25">
      <c r="C14"/>
    </row>
    <row r="15" spans="2:4" x14ac:dyDescent="0.25">
      <c r="C15"/>
    </row>
    <row r="16" spans="2:4" x14ac:dyDescent="0.25">
      <c r="C16"/>
    </row>
    <row r="17" spans="2:4" x14ac:dyDescent="0.25">
      <c r="C17"/>
    </row>
    <row r="18" spans="2:4" x14ac:dyDescent="0.25">
      <c r="C18"/>
    </row>
    <row r="19" spans="2:4" x14ac:dyDescent="0.25">
      <c r="C19"/>
    </row>
    <row r="20" spans="2:4" x14ac:dyDescent="0.25">
      <c r="C20"/>
    </row>
    <row r="21" spans="2:4" x14ac:dyDescent="0.25">
      <c r="C21"/>
    </row>
    <row r="22" spans="2:4" x14ac:dyDescent="0.25">
      <c r="C22"/>
    </row>
    <row r="23" spans="2:4" x14ac:dyDescent="0.25">
      <c r="C23"/>
    </row>
    <row r="24" spans="2:4" x14ac:dyDescent="0.25">
      <c r="B24" s="6" t="s">
        <v>19</v>
      </c>
      <c r="C24" s="6"/>
      <c r="D24" s="3"/>
    </row>
    <row r="25" spans="2:4" x14ac:dyDescent="0.25">
      <c r="B25" s="5" t="s">
        <v>20</v>
      </c>
      <c r="C25" s="4" t="s">
        <v>21</v>
      </c>
    </row>
    <row r="26" spans="2:4" x14ac:dyDescent="0.25">
      <c r="B26" s="5" t="s">
        <v>22</v>
      </c>
      <c r="C26" s="4" t="s">
        <v>23</v>
      </c>
    </row>
    <row r="27" spans="2:4" x14ac:dyDescent="0.25">
      <c r="B27" t="s">
        <v>2</v>
      </c>
      <c r="C27" t="e" vm="1">
        <v>#VALUE!</v>
      </c>
    </row>
    <row r="28" spans="2:4" x14ac:dyDescent="0.25">
      <c r="C28"/>
    </row>
    <row r="29" spans="2:4" x14ac:dyDescent="0.25">
      <c r="C29"/>
    </row>
    <row r="30" spans="2:4" x14ac:dyDescent="0.25">
      <c r="C30"/>
    </row>
    <row r="31" spans="2:4" x14ac:dyDescent="0.25">
      <c r="C31"/>
    </row>
    <row r="32" spans="2:4" x14ac:dyDescent="0.25">
      <c r="C32"/>
    </row>
    <row r="33" spans="2:5" x14ac:dyDescent="0.25">
      <c r="B33" s="6" t="s">
        <v>28</v>
      </c>
      <c r="C33" s="6"/>
      <c r="D33" s="6"/>
    </row>
    <row r="34" spans="2:5" x14ac:dyDescent="0.25">
      <c r="B34" s="8" t="s">
        <v>34</v>
      </c>
      <c r="C34" s="8"/>
      <c r="D34" s="8"/>
    </row>
    <row r="35" spans="2:5" x14ac:dyDescent="0.25">
      <c r="B35" s="7" cm="1" vm="2">
        <f t="array" aca="1" ref="B35:C192" ca="1">_xlfn.STOCKHISTORY(C27,start,end,0,0,0,5)</f>
        <v>45289</v>
      </c>
      <c r="C35" s="10" vm="3">
        <f ca="1"/>
        <v>1768087</v>
      </c>
      <c r="D35" s="9">
        <v>0</v>
      </c>
      <c r="E35" s="1"/>
    </row>
    <row r="36" spans="2:5" x14ac:dyDescent="0.25">
      <c r="B36" s="7" vm="4">
        <f ca="1"/>
        <v>45293</v>
      </c>
      <c r="C36" s="10" vm="5">
        <f ca="1"/>
        <v>2435757</v>
      </c>
      <c r="D36" s="9" t="e" cm="1" vm="6">
        <f t="array" aca="1" ref="D36:D192" ca="1">_xlfn.STOCKHISTORY(C27,start+1,end,0,0,1)/_xlfn.STOCKHISTORY(C27,start,end-1,0,0,1)-1</f>
        <v>#VALUE!</v>
      </c>
    </row>
    <row r="37" spans="2:5" x14ac:dyDescent="0.25">
      <c r="B37" s="7" vm="7">
        <f ca="1"/>
        <v>45294</v>
      </c>
      <c r="C37" s="10" vm="8">
        <f ca="1"/>
        <v>2756934</v>
      </c>
      <c r="D37" t="e" vm="6">
        <f ca="1"/>
        <v>#VALUE!</v>
      </c>
    </row>
    <row r="38" spans="2:5" x14ac:dyDescent="0.25">
      <c r="B38" s="7" vm="9">
        <f ca="1"/>
        <v>45295</v>
      </c>
      <c r="C38" s="10" vm="10">
        <f ca="1"/>
        <v>5989433</v>
      </c>
      <c r="D38" t="e" vm="6">
        <f ca="1"/>
        <v>#VALUE!</v>
      </c>
    </row>
    <row r="39" spans="2:5" x14ac:dyDescent="0.25">
      <c r="B39" s="7" vm="11">
        <f ca="1"/>
        <v>45296</v>
      </c>
      <c r="C39" s="10" vm="12">
        <f ca="1"/>
        <v>1714589</v>
      </c>
      <c r="D39" t="e" vm="6">
        <f ca="1"/>
        <v>#VALUE!</v>
      </c>
    </row>
    <row r="40" spans="2:5" x14ac:dyDescent="0.25">
      <c r="B40" s="7" vm="13">
        <f ca="1"/>
        <v>45299</v>
      </c>
      <c r="C40" s="10" vm="14">
        <f ca="1"/>
        <v>2124723</v>
      </c>
      <c r="D40" t="e" vm="6">
        <f ca="1"/>
        <v>#VALUE!</v>
      </c>
    </row>
    <row r="41" spans="2:5" x14ac:dyDescent="0.25">
      <c r="B41" s="7" vm="15">
        <f ca="1"/>
        <v>45300</v>
      </c>
      <c r="C41" s="10" vm="16">
        <f ca="1"/>
        <v>4567442</v>
      </c>
      <c r="D41" t="e" vm="6">
        <f ca="1"/>
        <v>#VALUE!</v>
      </c>
    </row>
    <row r="42" spans="2:5" x14ac:dyDescent="0.25">
      <c r="B42" s="7" vm="17">
        <f ca="1"/>
        <v>45301</v>
      </c>
      <c r="C42" s="10" vm="18">
        <f ca="1"/>
        <v>3237572</v>
      </c>
      <c r="D42" t="e" vm="6">
        <f ca="1"/>
        <v>#VALUE!</v>
      </c>
    </row>
    <row r="43" spans="2:5" x14ac:dyDescent="0.25">
      <c r="B43" s="7" vm="19">
        <f ca="1"/>
        <v>45302</v>
      </c>
      <c r="C43" s="10" vm="20">
        <f ca="1"/>
        <v>3260129</v>
      </c>
      <c r="D43" t="e" vm="6">
        <f ca="1"/>
        <v>#VALUE!</v>
      </c>
    </row>
    <row r="44" spans="2:5" x14ac:dyDescent="0.25">
      <c r="B44" s="7" vm="21">
        <f ca="1"/>
        <v>45303</v>
      </c>
      <c r="C44" s="10" vm="22">
        <f ca="1"/>
        <v>3256233</v>
      </c>
      <c r="D44" t="e" vm="6">
        <f ca="1"/>
        <v>#VALUE!</v>
      </c>
    </row>
    <row r="45" spans="2:5" x14ac:dyDescent="0.25">
      <c r="B45" s="7" vm="23">
        <f ca="1"/>
        <v>45306</v>
      </c>
      <c r="C45" s="10" vm="24">
        <f ca="1"/>
        <v>2407306</v>
      </c>
      <c r="D45" t="e" vm="6">
        <f ca="1"/>
        <v>#VALUE!</v>
      </c>
    </row>
    <row r="46" spans="2:5" x14ac:dyDescent="0.25">
      <c r="B46" s="7" vm="25">
        <f ca="1"/>
        <v>45307</v>
      </c>
      <c r="C46" s="10" vm="26">
        <f ca="1"/>
        <v>3984814</v>
      </c>
      <c r="D46" t="e" vm="6">
        <f ca="1"/>
        <v>#VALUE!</v>
      </c>
    </row>
    <row r="47" spans="2:5" x14ac:dyDescent="0.25">
      <c r="B47" s="7" vm="27">
        <f ca="1"/>
        <v>45308</v>
      </c>
      <c r="C47" s="10" vm="28">
        <f ca="1"/>
        <v>4225321</v>
      </c>
      <c r="D47" t="e" vm="6">
        <f ca="1"/>
        <v>#VALUE!</v>
      </c>
    </row>
    <row r="48" spans="2:5" x14ac:dyDescent="0.25">
      <c r="B48" s="7" vm="29">
        <f ca="1"/>
        <v>45309</v>
      </c>
      <c r="C48" s="10" vm="30">
        <f ca="1"/>
        <v>4653582</v>
      </c>
      <c r="D48" t="e" vm="6">
        <f ca="1"/>
        <v>#VALUE!</v>
      </c>
    </row>
    <row r="49" spans="2:4" x14ac:dyDescent="0.25">
      <c r="B49" s="7" vm="31">
        <f ca="1"/>
        <v>45310</v>
      </c>
      <c r="C49" s="10" vm="32">
        <f ca="1"/>
        <v>3824795</v>
      </c>
      <c r="D49" t="e" vm="6">
        <f ca="1"/>
        <v>#VALUE!</v>
      </c>
    </row>
    <row r="50" spans="2:4" x14ac:dyDescent="0.25">
      <c r="B50" s="7" vm="33">
        <f ca="1"/>
        <v>45313</v>
      </c>
      <c r="C50" s="10" vm="34">
        <f ca="1"/>
        <v>3597457</v>
      </c>
      <c r="D50" t="e" vm="6">
        <f ca="1"/>
        <v>#VALUE!</v>
      </c>
    </row>
    <row r="51" spans="2:4" x14ac:dyDescent="0.25">
      <c r="B51" s="7" vm="35">
        <f ca="1"/>
        <v>45314</v>
      </c>
      <c r="C51" s="10" vm="36">
        <f ca="1"/>
        <v>7979875</v>
      </c>
      <c r="D51" t="e" vm="6">
        <f ca="1"/>
        <v>#VALUE!</v>
      </c>
    </row>
    <row r="52" spans="2:4" x14ac:dyDescent="0.25">
      <c r="B52" s="7" vm="37">
        <f ca="1"/>
        <v>45315</v>
      </c>
      <c r="C52" s="10" vm="38">
        <f ca="1"/>
        <v>7246308</v>
      </c>
      <c r="D52" t="e" vm="6">
        <f ca="1"/>
        <v>#VALUE!</v>
      </c>
    </row>
    <row r="53" spans="2:4" x14ac:dyDescent="0.25">
      <c r="B53" s="7" vm="39">
        <f ca="1"/>
        <v>45316</v>
      </c>
      <c r="C53" s="10" vm="40">
        <f ca="1"/>
        <v>3875184</v>
      </c>
      <c r="D53" t="e" vm="6">
        <f ca="1"/>
        <v>#VALUE!</v>
      </c>
    </row>
    <row r="54" spans="2:4" x14ac:dyDescent="0.25">
      <c r="B54" s="7" vm="41">
        <f ca="1"/>
        <v>45317</v>
      </c>
      <c r="C54" s="10" vm="42">
        <f ca="1"/>
        <v>2052909</v>
      </c>
      <c r="D54" t="e" vm="6">
        <f ca="1"/>
        <v>#VALUE!</v>
      </c>
    </row>
    <row r="55" spans="2:4" x14ac:dyDescent="0.25">
      <c r="B55" s="7" vm="43">
        <f ca="1"/>
        <v>45320</v>
      </c>
      <c r="C55" s="10" vm="44">
        <f ca="1"/>
        <v>2346345</v>
      </c>
      <c r="D55" t="e" vm="6">
        <f ca="1"/>
        <v>#VALUE!</v>
      </c>
    </row>
    <row r="56" spans="2:4" x14ac:dyDescent="0.25">
      <c r="B56" s="7" vm="45">
        <f ca="1"/>
        <v>45321</v>
      </c>
      <c r="C56" s="10" vm="46">
        <f ca="1"/>
        <v>2540627</v>
      </c>
      <c r="D56" t="e" vm="6">
        <f ca="1"/>
        <v>#VALUE!</v>
      </c>
    </row>
    <row r="57" spans="2:4" x14ac:dyDescent="0.25">
      <c r="B57" s="7" vm="47">
        <f ca="1"/>
        <v>45322</v>
      </c>
      <c r="C57" s="10" vm="48">
        <f ca="1"/>
        <v>2983052</v>
      </c>
      <c r="D57" t="e" vm="6">
        <f ca="1"/>
        <v>#VALUE!</v>
      </c>
    </row>
    <row r="58" spans="2:4" x14ac:dyDescent="0.25">
      <c r="B58" s="7" vm="49">
        <f ca="1"/>
        <v>45323</v>
      </c>
      <c r="C58" s="10" vm="50">
        <f ca="1"/>
        <v>2211694</v>
      </c>
      <c r="D58" t="e" vm="6">
        <f ca="1"/>
        <v>#VALUE!</v>
      </c>
    </row>
    <row r="59" spans="2:4" x14ac:dyDescent="0.25">
      <c r="B59" s="7" vm="51">
        <f ca="1"/>
        <v>45324</v>
      </c>
      <c r="C59" s="10" vm="52">
        <f ca="1"/>
        <v>1710619</v>
      </c>
      <c r="D59" t="e" vm="6">
        <f ca="1"/>
        <v>#VALUE!</v>
      </c>
    </row>
    <row r="60" spans="2:4" x14ac:dyDescent="0.25">
      <c r="B60" s="7" vm="53">
        <f ca="1"/>
        <v>45327</v>
      </c>
      <c r="C60" s="10" vm="54">
        <f ca="1"/>
        <v>2885960</v>
      </c>
      <c r="D60" t="e" vm="6">
        <f ca="1"/>
        <v>#VALUE!</v>
      </c>
    </row>
    <row r="61" spans="2:4" x14ac:dyDescent="0.25">
      <c r="B61" s="7" vm="55">
        <f ca="1"/>
        <v>45328</v>
      </c>
      <c r="C61" s="10" vm="56">
        <f ca="1"/>
        <v>2691934</v>
      </c>
      <c r="D61" t="e" vm="6">
        <f ca="1"/>
        <v>#VALUE!</v>
      </c>
    </row>
    <row r="62" spans="2:4" x14ac:dyDescent="0.25">
      <c r="B62" s="7" vm="57">
        <f ca="1"/>
        <v>45329</v>
      </c>
      <c r="C62" s="10" vm="58">
        <f ca="1"/>
        <v>3011580</v>
      </c>
      <c r="D62" t="e" vm="6">
        <f ca="1"/>
        <v>#VALUE!</v>
      </c>
    </row>
    <row r="63" spans="2:4" x14ac:dyDescent="0.25">
      <c r="B63" s="7" vm="59">
        <f ca="1"/>
        <v>45330</v>
      </c>
      <c r="C63" s="10" vm="60">
        <f ca="1"/>
        <v>3039136</v>
      </c>
      <c r="D63" t="e" vm="6">
        <f ca="1"/>
        <v>#VALUE!</v>
      </c>
    </row>
    <row r="64" spans="2:4" x14ac:dyDescent="0.25">
      <c r="B64" s="7" vm="61">
        <f ca="1"/>
        <v>45331</v>
      </c>
      <c r="C64" s="10" vm="62">
        <f ca="1"/>
        <v>2654423</v>
      </c>
      <c r="D64" t="e" vm="6">
        <f ca="1"/>
        <v>#VALUE!</v>
      </c>
    </row>
    <row r="65" spans="2:4" x14ac:dyDescent="0.25">
      <c r="B65" s="7" vm="63">
        <f ca="1"/>
        <v>45334</v>
      </c>
      <c r="C65" s="10" vm="64">
        <f ca="1"/>
        <v>1779206</v>
      </c>
      <c r="D65" t="e" vm="6">
        <f ca="1"/>
        <v>#VALUE!</v>
      </c>
    </row>
    <row r="66" spans="2:4" x14ac:dyDescent="0.25">
      <c r="B66" s="7" vm="65">
        <f ca="1"/>
        <v>45335</v>
      </c>
      <c r="C66" s="10" vm="66">
        <f ca="1"/>
        <v>4072220</v>
      </c>
      <c r="D66" t="e" vm="6">
        <f ca="1"/>
        <v>#VALUE!</v>
      </c>
    </row>
    <row r="67" spans="2:4" x14ac:dyDescent="0.25">
      <c r="B67" s="7" vm="67">
        <f ca="1"/>
        <v>45336</v>
      </c>
      <c r="C67" s="10" vm="68">
        <f ca="1"/>
        <v>4352729</v>
      </c>
      <c r="D67" t="e" vm="6">
        <f ca="1"/>
        <v>#VALUE!</v>
      </c>
    </row>
    <row r="68" spans="2:4" x14ac:dyDescent="0.25">
      <c r="B68" s="7" vm="69">
        <f ca="1"/>
        <v>45337</v>
      </c>
      <c r="C68" s="10" vm="70">
        <f ca="1"/>
        <v>3485978</v>
      </c>
      <c r="D68" t="e" vm="6">
        <f ca="1"/>
        <v>#VALUE!</v>
      </c>
    </row>
    <row r="69" spans="2:4" x14ac:dyDescent="0.25">
      <c r="B69" s="7" vm="71">
        <f ca="1"/>
        <v>45338</v>
      </c>
      <c r="C69" s="10" vm="72">
        <f ca="1"/>
        <v>3666748</v>
      </c>
      <c r="D69" t="e" vm="6">
        <f ca="1"/>
        <v>#VALUE!</v>
      </c>
    </row>
    <row r="70" spans="2:4" x14ac:dyDescent="0.25">
      <c r="B70" s="7" vm="73">
        <f ca="1"/>
        <v>45341</v>
      </c>
      <c r="C70" s="10" vm="74">
        <f ca="1"/>
        <v>2537061</v>
      </c>
      <c r="D70" t="e" vm="6">
        <f ca="1"/>
        <v>#VALUE!</v>
      </c>
    </row>
    <row r="71" spans="2:4" x14ac:dyDescent="0.25">
      <c r="B71" s="7" vm="75">
        <f ca="1"/>
        <v>45342</v>
      </c>
      <c r="C71" s="10" vm="76">
        <f ca="1"/>
        <v>2664162</v>
      </c>
      <c r="D71" t="e" vm="6">
        <f ca="1"/>
        <v>#VALUE!</v>
      </c>
    </row>
    <row r="72" spans="2:4" x14ac:dyDescent="0.25">
      <c r="B72" s="7" vm="77">
        <f ca="1"/>
        <v>45343</v>
      </c>
      <c r="C72" s="10" vm="78">
        <f ca="1"/>
        <v>3891420</v>
      </c>
      <c r="D72" t="e" vm="6">
        <f ca="1"/>
        <v>#VALUE!</v>
      </c>
    </row>
    <row r="73" spans="2:4" x14ac:dyDescent="0.25">
      <c r="B73" s="7" vm="79">
        <f ca="1"/>
        <v>45344</v>
      </c>
      <c r="C73" s="10" vm="80">
        <f ca="1"/>
        <v>3111026</v>
      </c>
      <c r="D73" t="e" vm="6">
        <f ca="1"/>
        <v>#VALUE!</v>
      </c>
    </row>
    <row r="74" spans="2:4" x14ac:dyDescent="0.25">
      <c r="B74" s="7" vm="81">
        <f ca="1"/>
        <v>45345</v>
      </c>
      <c r="C74" s="10" vm="82">
        <f ca="1"/>
        <v>2155683</v>
      </c>
      <c r="D74" t="e" vm="6">
        <f ca="1"/>
        <v>#VALUE!</v>
      </c>
    </row>
    <row r="75" spans="2:4" x14ac:dyDescent="0.25">
      <c r="B75" s="7" vm="83">
        <f ca="1"/>
        <v>45348</v>
      </c>
      <c r="C75" s="10" vm="84">
        <f ca="1"/>
        <v>2979588</v>
      </c>
      <c r="D75" t="e" vm="6">
        <f ca="1"/>
        <v>#VALUE!</v>
      </c>
    </row>
    <row r="76" spans="2:4" x14ac:dyDescent="0.25">
      <c r="B76" s="7" vm="85">
        <f ca="1"/>
        <v>45349</v>
      </c>
      <c r="C76" s="10" vm="86">
        <f ca="1"/>
        <v>2895886</v>
      </c>
      <c r="D76" t="e" vm="6">
        <f ca="1"/>
        <v>#VALUE!</v>
      </c>
    </row>
    <row r="77" spans="2:4" x14ac:dyDescent="0.25">
      <c r="B77" s="7" vm="87">
        <f ca="1"/>
        <v>45350</v>
      </c>
      <c r="C77" s="10" vm="88">
        <f ca="1"/>
        <v>3462286</v>
      </c>
      <c r="D77" t="e" vm="6">
        <f ca="1"/>
        <v>#VALUE!</v>
      </c>
    </row>
    <row r="78" spans="2:4" x14ac:dyDescent="0.25">
      <c r="B78" s="7" vm="89">
        <f ca="1"/>
        <v>45351</v>
      </c>
      <c r="C78" s="10" vm="90">
        <f ca="1"/>
        <v>6703797</v>
      </c>
      <c r="D78" t="e" vm="6">
        <f ca="1"/>
        <v>#VALUE!</v>
      </c>
    </row>
    <row r="79" spans="2:4" x14ac:dyDescent="0.25">
      <c r="B79" s="7" vm="91">
        <f ca="1"/>
        <v>45352</v>
      </c>
      <c r="C79" s="10" vm="92">
        <f ca="1"/>
        <v>3459814</v>
      </c>
      <c r="D79" t="e" vm="6">
        <f ca="1"/>
        <v>#VALUE!</v>
      </c>
    </row>
    <row r="80" spans="2:4" x14ac:dyDescent="0.25">
      <c r="B80" s="7" vm="93">
        <f ca="1"/>
        <v>45355</v>
      </c>
      <c r="C80" s="10" vm="94">
        <f ca="1"/>
        <v>2548685</v>
      </c>
      <c r="D80" t="e" vm="6">
        <f ca="1"/>
        <v>#VALUE!</v>
      </c>
    </row>
    <row r="81" spans="2:4" x14ac:dyDescent="0.25">
      <c r="B81" s="7" vm="95">
        <f ca="1"/>
        <v>45356</v>
      </c>
      <c r="C81" s="10" vm="96">
        <f ca="1"/>
        <v>2529020</v>
      </c>
      <c r="D81" t="e" vm="6">
        <f ca="1"/>
        <v>#VALUE!</v>
      </c>
    </row>
    <row r="82" spans="2:4" x14ac:dyDescent="0.25">
      <c r="B82" s="7" vm="97">
        <f ca="1"/>
        <v>45357</v>
      </c>
      <c r="C82" s="10" vm="98">
        <f ca="1"/>
        <v>2499781</v>
      </c>
      <c r="D82" t="e" vm="6">
        <f ca="1"/>
        <v>#VALUE!</v>
      </c>
    </row>
    <row r="83" spans="2:4" x14ac:dyDescent="0.25">
      <c r="B83" s="7" vm="99">
        <f ca="1"/>
        <v>45358</v>
      </c>
      <c r="C83" s="10" vm="100">
        <f ca="1"/>
        <v>3873385</v>
      </c>
      <c r="D83" t="e" vm="6">
        <f ca="1"/>
        <v>#VALUE!</v>
      </c>
    </row>
    <row r="84" spans="2:4" x14ac:dyDescent="0.25">
      <c r="B84" s="7" vm="101">
        <f ca="1"/>
        <v>45359</v>
      </c>
      <c r="C84" s="10" vm="102">
        <f ca="1"/>
        <v>2690407</v>
      </c>
      <c r="D84" t="e" vm="6">
        <f ca="1"/>
        <v>#VALUE!</v>
      </c>
    </row>
    <row r="85" spans="2:4" x14ac:dyDescent="0.25">
      <c r="B85" s="7" vm="103">
        <f ca="1"/>
        <v>45362</v>
      </c>
      <c r="C85" s="10" vm="104">
        <f ca="1"/>
        <v>2266806</v>
      </c>
      <c r="D85" t="e" vm="6">
        <f ca="1"/>
        <v>#VALUE!</v>
      </c>
    </row>
    <row r="86" spans="2:4" x14ac:dyDescent="0.25">
      <c r="B86" s="7" vm="105">
        <f ca="1"/>
        <v>45363</v>
      </c>
      <c r="C86" s="10" vm="106">
        <f ca="1"/>
        <v>4399807</v>
      </c>
      <c r="D86" t="e" vm="6">
        <f ca="1"/>
        <v>#VALUE!</v>
      </c>
    </row>
    <row r="87" spans="2:4" x14ac:dyDescent="0.25">
      <c r="B87" s="7" vm="107">
        <f ca="1"/>
        <v>45364</v>
      </c>
      <c r="C87" s="10" vm="108">
        <f ca="1"/>
        <v>5098193</v>
      </c>
      <c r="D87" t="e" vm="6">
        <f ca="1"/>
        <v>#VALUE!</v>
      </c>
    </row>
    <row r="88" spans="2:4" x14ac:dyDescent="0.25">
      <c r="B88" s="7" vm="109">
        <f ca="1"/>
        <v>45365</v>
      </c>
      <c r="C88" s="10" vm="110">
        <f ca="1"/>
        <v>5696833</v>
      </c>
      <c r="D88" t="e" vm="6">
        <f ca="1"/>
        <v>#VALUE!</v>
      </c>
    </row>
    <row r="89" spans="2:4" x14ac:dyDescent="0.25">
      <c r="B89" s="7" vm="111">
        <f ca="1"/>
        <v>45366</v>
      </c>
      <c r="C89" s="10" vm="112">
        <f ca="1"/>
        <v>10654563</v>
      </c>
      <c r="D89" t="e" vm="6">
        <f ca="1"/>
        <v>#VALUE!</v>
      </c>
    </row>
    <row r="90" spans="2:4" x14ac:dyDescent="0.25">
      <c r="B90" s="7" vm="113">
        <f ca="1"/>
        <v>45369</v>
      </c>
      <c r="C90" s="10" vm="114">
        <f ca="1"/>
        <v>3664939</v>
      </c>
      <c r="D90" t="e" vm="6">
        <f ca="1"/>
        <v>#VALUE!</v>
      </c>
    </row>
    <row r="91" spans="2:4" x14ac:dyDescent="0.25">
      <c r="B91" s="7" vm="115">
        <f ca="1"/>
        <v>45370</v>
      </c>
      <c r="C91" s="10" vm="116">
        <f ca="1"/>
        <v>2803288</v>
      </c>
      <c r="D91" t="e" vm="6">
        <f ca="1"/>
        <v>#VALUE!</v>
      </c>
    </row>
    <row r="92" spans="2:4" x14ac:dyDescent="0.25">
      <c r="B92" s="7" vm="117">
        <f ca="1"/>
        <v>45371</v>
      </c>
      <c r="C92" s="10" vm="118">
        <f ca="1"/>
        <v>4189160</v>
      </c>
      <c r="D92" t="e" vm="6">
        <f ca="1"/>
        <v>#VALUE!</v>
      </c>
    </row>
    <row r="93" spans="2:4" x14ac:dyDescent="0.25">
      <c r="B93" s="7" vm="119">
        <f ca="1"/>
        <v>45372</v>
      </c>
      <c r="C93" s="10" vm="120">
        <f ca="1"/>
        <v>3918584</v>
      </c>
      <c r="D93" t="e" vm="6">
        <f ca="1"/>
        <v>#VALUE!</v>
      </c>
    </row>
    <row r="94" spans="2:4" x14ac:dyDescent="0.25">
      <c r="B94" s="7" vm="121">
        <f ca="1"/>
        <v>45373</v>
      </c>
      <c r="C94" s="10" vm="122">
        <f ca="1"/>
        <v>3125816</v>
      </c>
      <c r="D94" t="e" vm="6">
        <f ca="1"/>
        <v>#VALUE!</v>
      </c>
    </row>
    <row r="95" spans="2:4" x14ac:dyDescent="0.25">
      <c r="B95" s="7" vm="123">
        <f ca="1"/>
        <v>45376</v>
      </c>
      <c r="C95" s="10" vm="124">
        <f ca="1"/>
        <v>4813341</v>
      </c>
      <c r="D95" t="e" vm="6">
        <f ca="1"/>
        <v>#VALUE!</v>
      </c>
    </row>
    <row r="96" spans="2:4" x14ac:dyDescent="0.25">
      <c r="B96" s="7" vm="125">
        <f ca="1"/>
        <v>45377</v>
      </c>
      <c r="C96" s="10" vm="126">
        <f ca="1"/>
        <v>3038659</v>
      </c>
      <c r="D96" t="e" vm="6">
        <f ca="1"/>
        <v>#VALUE!</v>
      </c>
    </row>
    <row r="97" spans="2:4" x14ac:dyDescent="0.25">
      <c r="B97" s="7" vm="127">
        <f ca="1"/>
        <v>45378</v>
      </c>
      <c r="C97" s="10" vm="128">
        <f ca="1"/>
        <v>3487690</v>
      </c>
      <c r="D97" t="e" vm="6">
        <f ca="1"/>
        <v>#VALUE!</v>
      </c>
    </row>
    <row r="98" spans="2:4" x14ac:dyDescent="0.25">
      <c r="B98" s="7" vm="129">
        <f ca="1"/>
        <v>45384</v>
      </c>
      <c r="C98" s="10" vm="130">
        <f ca="1"/>
        <v>10365635</v>
      </c>
      <c r="D98" t="e" vm="6">
        <f ca="1"/>
        <v>#VALUE!</v>
      </c>
    </row>
    <row r="99" spans="2:4" x14ac:dyDescent="0.25">
      <c r="B99" s="7" vm="131">
        <f ca="1"/>
        <v>45385</v>
      </c>
      <c r="C99" s="10" vm="132">
        <f ca="1"/>
        <v>6334623</v>
      </c>
      <c r="D99" t="e" vm="6">
        <f ca="1"/>
        <v>#VALUE!</v>
      </c>
    </row>
    <row r="100" spans="2:4" x14ac:dyDescent="0.25">
      <c r="B100" s="7" vm="133">
        <f ca="1"/>
        <v>45386</v>
      </c>
      <c r="C100" s="10" vm="134">
        <f ca="1"/>
        <v>6140672</v>
      </c>
      <c r="D100" t="e" vm="6">
        <f ca="1"/>
        <v>#VALUE!</v>
      </c>
    </row>
    <row r="101" spans="2:4" x14ac:dyDescent="0.25">
      <c r="B101" s="7" vm="135">
        <f ca="1"/>
        <v>45387</v>
      </c>
      <c r="C101" s="10" vm="136">
        <f ca="1"/>
        <v>3479033</v>
      </c>
      <c r="D101" t="e" vm="6">
        <f ca="1"/>
        <v>#VALUE!</v>
      </c>
    </row>
    <row r="102" spans="2:4" x14ac:dyDescent="0.25">
      <c r="B102" s="7" vm="137">
        <f ca="1"/>
        <v>45390</v>
      </c>
      <c r="C102" s="10" vm="138">
        <f ca="1"/>
        <v>6120938</v>
      </c>
      <c r="D102" t="e" vm="6">
        <f ca="1"/>
        <v>#VALUE!</v>
      </c>
    </row>
    <row r="103" spans="2:4" x14ac:dyDescent="0.25">
      <c r="B103" s="7" vm="139">
        <f ca="1"/>
        <v>45391</v>
      </c>
      <c r="C103" s="10" vm="140">
        <f ca="1"/>
        <v>4554466</v>
      </c>
      <c r="D103" t="e" vm="6">
        <f ca="1"/>
        <v>#VALUE!</v>
      </c>
    </row>
    <row r="104" spans="2:4" x14ac:dyDescent="0.25">
      <c r="B104" s="7" vm="141">
        <f ca="1"/>
        <v>45392</v>
      </c>
      <c r="C104" s="10" vm="142">
        <f ca="1"/>
        <v>4658178</v>
      </c>
      <c r="D104" t="e" vm="6">
        <f ca="1"/>
        <v>#VALUE!</v>
      </c>
    </row>
    <row r="105" spans="2:4" x14ac:dyDescent="0.25">
      <c r="B105" s="7" vm="143">
        <f ca="1"/>
        <v>45393</v>
      </c>
      <c r="C105" s="10" vm="144">
        <f ca="1"/>
        <v>4225511</v>
      </c>
      <c r="D105" t="e" vm="6">
        <f ca="1"/>
        <v>#VALUE!</v>
      </c>
    </row>
    <row r="106" spans="2:4" x14ac:dyDescent="0.25">
      <c r="B106" s="7" vm="145">
        <f ca="1"/>
        <v>45394</v>
      </c>
      <c r="C106" s="10" vm="146">
        <f ca="1"/>
        <v>6045927</v>
      </c>
      <c r="D106" t="e" vm="6">
        <f ca="1"/>
        <v>#VALUE!</v>
      </c>
    </row>
    <row r="107" spans="2:4" x14ac:dyDescent="0.25">
      <c r="B107" s="7" vm="147">
        <f ca="1"/>
        <v>45397</v>
      </c>
      <c r="C107" s="10" vm="148">
        <f ca="1"/>
        <v>7551147</v>
      </c>
      <c r="D107" t="e" vm="6">
        <f ca="1"/>
        <v>#VALUE!</v>
      </c>
    </row>
    <row r="108" spans="2:4" x14ac:dyDescent="0.25">
      <c r="B108" s="7" vm="149">
        <f ca="1"/>
        <v>45398</v>
      </c>
      <c r="C108" s="10" vm="150">
        <f ca="1"/>
        <v>4819641</v>
      </c>
      <c r="D108" t="e" vm="6">
        <f ca="1"/>
        <v>#VALUE!</v>
      </c>
    </row>
    <row r="109" spans="2:4" x14ac:dyDescent="0.25">
      <c r="B109" s="7" vm="151">
        <f ca="1"/>
        <v>45399</v>
      </c>
      <c r="C109" s="10" vm="152">
        <f ca="1"/>
        <v>3918472</v>
      </c>
      <c r="D109" t="e" vm="6">
        <f ca="1"/>
        <v>#VALUE!</v>
      </c>
    </row>
    <row r="110" spans="2:4" x14ac:dyDescent="0.25">
      <c r="B110" s="7" vm="153">
        <f ca="1"/>
        <v>45400</v>
      </c>
      <c r="C110" s="10" vm="154">
        <f ca="1"/>
        <v>3092039</v>
      </c>
      <c r="D110" t="e" vm="6">
        <f ca="1"/>
        <v>#VALUE!</v>
      </c>
    </row>
    <row r="111" spans="2:4" x14ac:dyDescent="0.25">
      <c r="B111" s="7" vm="155">
        <f ca="1"/>
        <v>45401</v>
      </c>
      <c r="C111" s="10" vm="156">
        <f ca="1"/>
        <v>4190750</v>
      </c>
      <c r="D111" t="e" vm="6">
        <f ca="1"/>
        <v>#VALUE!</v>
      </c>
    </row>
    <row r="112" spans="2:4" x14ac:dyDescent="0.25">
      <c r="B112" s="7" vm="157">
        <f ca="1"/>
        <v>45404</v>
      </c>
      <c r="C112" s="10" vm="158">
        <f ca="1"/>
        <v>4698116</v>
      </c>
      <c r="D112" t="e" vm="6">
        <f ca="1"/>
        <v>#VALUE!</v>
      </c>
    </row>
    <row r="113" spans="2:4" x14ac:dyDescent="0.25">
      <c r="B113" s="7" vm="159">
        <f ca="1"/>
        <v>45405</v>
      </c>
      <c r="C113" s="10" vm="160">
        <f ca="1"/>
        <v>5693962</v>
      </c>
      <c r="D113" t="e" vm="6">
        <f ca="1"/>
        <v>#VALUE!</v>
      </c>
    </row>
    <row r="114" spans="2:4" x14ac:dyDescent="0.25">
      <c r="B114" s="7" vm="161">
        <f ca="1"/>
        <v>45406</v>
      </c>
      <c r="C114" s="10" vm="162">
        <f ca="1"/>
        <v>6717822</v>
      </c>
      <c r="D114" t="e" vm="6">
        <f ca="1"/>
        <v>#VALUE!</v>
      </c>
    </row>
    <row r="115" spans="2:4" x14ac:dyDescent="0.25">
      <c r="B115" s="7" vm="163">
        <f ca="1"/>
        <v>45407</v>
      </c>
      <c r="C115" s="10" vm="164">
        <f ca="1"/>
        <v>4591080</v>
      </c>
      <c r="D115" t="e" vm="6">
        <f ca="1"/>
        <v>#VALUE!</v>
      </c>
    </row>
    <row r="116" spans="2:4" x14ac:dyDescent="0.25">
      <c r="B116" s="7" vm="165">
        <f ca="1"/>
        <v>45408</v>
      </c>
      <c r="C116" s="10" vm="166">
        <f ca="1"/>
        <v>4235267</v>
      </c>
      <c r="D116" t="e" vm="6">
        <f ca="1"/>
        <v>#VALUE!</v>
      </c>
    </row>
    <row r="117" spans="2:4" x14ac:dyDescent="0.25">
      <c r="B117" s="7" vm="167">
        <f ca="1"/>
        <v>45411</v>
      </c>
      <c r="C117" s="10" vm="168">
        <f ca="1"/>
        <v>4016262</v>
      </c>
      <c r="D117" t="e" vm="6">
        <f ca="1"/>
        <v>#VALUE!</v>
      </c>
    </row>
    <row r="118" spans="2:4" x14ac:dyDescent="0.25">
      <c r="B118" s="7" vm="169">
        <f ca="1"/>
        <v>45412</v>
      </c>
      <c r="C118" s="10" vm="170">
        <f ca="1"/>
        <v>5254223</v>
      </c>
      <c r="D118" t="e" vm="6">
        <f ca="1"/>
        <v>#VALUE!</v>
      </c>
    </row>
    <row r="119" spans="2:4" x14ac:dyDescent="0.25">
      <c r="B119" s="7" vm="171">
        <f ca="1"/>
        <v>45414</v>
      </c>
      <c r="C119" s="10" vm="172">
        <f ca="1"/>
        <v>5192253</v>
      </c>
      <c r="D119" t="e" vm="6">
        <f ca="1"/>
        <v>#VALUE!</v>
      </c>
    </row>
    <row r="120" spans="2:4" x14ac:dyDescent="0.25">
      <c r="B120" s="7" vm="173">
        <f ca="1"/>
        <v>45415</v>
      </c>
      <c r="C120" s="10" vm="174">
        <f ca="1"/>
        <v>3925332</v>
      </c>
      <c r="D120" t="e" vm="6">
        <f ca="1"/>
        <v>#VALUE!</v>
      </c>
    </row>
    <row r="121" spans="2:4" x14ac:dyDescent="0.25">
      <c r="B121" s="7" vm="175">
        <f ca="1"/>
        <v>45418</v>
      </c>
      <c r="C121" s="10" vm="176">
        <f ca="1"/>
        <v>4008800</v>
      </c>
      <c r="D121" t="e" vm="6">
        <f ca="1"/>
        <v>#VALUE!</v>
      </c>
    </row>
    <row r="122" spans="2:4" x14ac:dyDescent="0.25">
      <c r="B122" s="7" vm="177">
        <f ca="1"/>
        <v>45419</v>
      </c>
      <c r="C122" s="10" vm="178">
        <f ca="1"/>
        <v>3376546</v>
      </c>
      <c r="D122" t="e" vm="6">
        <f ca="1"/>
        <v>#VALUE!</v>
      </c>
    </row>
    <row r="123" spans="2:4" x14ac:dyDescent="0.25">
      <c r="B123" s="7" vm="179">
        <f ca="1"/>
        <v>45420</v>
      </c>
      <c r="C123" s="10" vm="180">
        <f ca="1"/>
        <v>4321097</v>
      </c>
      <c r="D123" t="e" vm="6">
        <f ca="1"/>
        <v>#VALUE!</v>
      </c>
    </row>
    <row r="124" spans="2:4" x14ac:dyDescent="0.25">
      <c r="B124" s="7" vm="181">
        <f ca="1"/>
        <v>45422</v>
      </c>
      <c r="C124" s="10" vm="182">
        <f ca="1"/>
        <v>4123331</v>
      </c>
      <c r="D124" t="e" vm="6">
        <f ca="1"/>
        <v>#VALUE!</v>
      </c>
    </row>
    <row r="125" spans="2:4" x14ac:dyDescent="0.25">
      <c r="B125" s="7" vm="183">
        <f ca="1"/>
        <v>45425</v>
      </c>
      <c r="C125" s="10" vm="184">
        <f ca="1"/>
        <v>4128866</v>
      </c>
      <c r="D125" t="e" vm="6">
        <f ca="1"/>
        <v>#VALUE!</v>
      </c>
    </row>
    <row r="126" spans="2:4" x14ac:dyDescent="0.25">
      <c r="B126" s="7" vm="185">
        <f ca="1"/>
        <v>45426</v>
      </c>
      <c r="C126" s="10" vm="186">
        <f ca="1"/>
        <v>4028777</v>
      </c>
      <c r="D126" t="e" vm="6">
        <f ca="1"/>
        <v>#VALUE!</v>
      </c>
    </row>
    <row r="127" spans="2:4" x14ac:dyDescent="0.25">
      <c r="B127" s="7" vm="187">
        <f ca="1"/>
        <v>45427</v>
      </c>
      <c r="C127" s="10" vm="188">
        <f ca="1"/>
        <v>3135583</v>
      </c>
      <c r="D127" t="e" vm="6">
        <f ca="1"/>
        <v>#VALUE!</v>
      </c>
    </row>
    <row r="128" spans="2:4" x14ac:dyDescent="0.25">
      <c r="B128" s="7" vm="189">
        <f ca="1"/>
        <v>45428</v>
      </c>
      <c r="C128" s="10" vm="190">
        <f ca="1"/>
        <v>3764152</v>
      </c>
      <c r="D128" t="e" vm="6">
        <f ca="1"/>
        <v>#VALUE!</v>
      </c>
    </row>
    <row r="129" spans="2:4" x14ac:dyDescent="0.25">
      <c r="B129" s="7" vm="191">
        <f ca="1"/>
        <v>45433</v>
      </c>
      <c r="C129" s="10" vm="192">
        <f ca="1"/>
        <v>9019282</v>
      </c>
      <c r="D129" t="e" vm="6">
        <f ca="1"/>
        <v>#VALUE!</v>
      </c>
    </row>
    <row r="130" spans="2:4" x14ac:dyDescent="0.25">
      <c r="B130" s="7" vm="193">
        <f ca="1"/>
        <v>45434</v>
      </c>
      <c r="C130" s="10" vm="194">
        <f ca="1"/>
        <v>5087075</v>
      </c>
      <c r="D130" t="e" vm="6">
        <f ca="1"/>
        <v>#VALUE!</v>
      </c>
    </row>
    <row r="131" spans="2:4" x14ac:dyDescent="0.25">
      <c r="B131" s="7" vm="195">
        <f ca="1"/>
        <v>45435</v>
      </c>
      <c r="C131" s="10" vm="196">
        <f ca="1"/>
        <v>2482705</v>
      </c>
      <c r="D131" t="e" vm="6">
        <f ca="1"/>
        <v>#VALUE!</v>
      </c>
    </row>
    <row r="132" spans="2:4" x14ac:dyDescent="0.25">
      <c r="B132" s="7" vm="197">
        <f ca="1"/>
        <v>45436</v>
      </c>
      <c r="C132" s="10" vm="198">
        <f ca="1"/>
        <v>2711988</v>
      </c>
      <c r="D132" t="e" vm="6">
        <f ca="1"/>
        <v>#VALUE!</v>
      </c>
    </row>
    <row r="133" spans="2:4" x14ac:dyDescent="0.25">
      <c r="B133" s="7" vm="199">
        <f ca="1"/>
        <v>45439</v>
      </c>
      <c r="C133" s="10" vm="200">
        <f ca="1"/>
        <v>1541960</v>
      </c>
      <c r="D133" t="e" vm="6">
        <f ca="1"/>
        <v>#VALUE!</v>
      </c>
    </row>
    <row r="134" spans="2:4" x14ac:dyDescent="0.25">
      <c r="B134" s="7" vm="201">
        <f ca="1"/>
        <v>45440</v>
      </c>
      <c r="C134" s="10" vm="202">
        <f ca="1"/>
        <v>4180410</v>
      </c>
      <c r="D134" t="e" vm="6">
        <f ca="1"/>
        <v>#VALUE!</v>
      </c>
    </row>
    <row r="135" spans="2:4" x14ac:dyDescent="0.25">
      <c r="B135" s="7" vm="203">
        <f ca="1"/>
        <v>45441</v>
      </c>
      <c r="C135" s="10" vm="204">
        <f ca="1"/>
        <v>6398675</v>
      </c>
      <c r="D135" t="e" vm="6">
        <f ca="1"/>
        <v>#VALUE!</v>
      </c>
    </row>
    <row r="136" spans="2:4" x14ac:dyDescent="0.25">
      <c r="B136" s="7" vm="205">
        <f ca="1"/>
        <v>45442</v>
      </c>
      <c r="C136" s="10" vm="206">
        <f ca="1"/>
        <v>4405473</v>
      </c>
      <c r="D136" t="e" vm="6">
        <f ca="1"/>
        <v>#VALUE!</v>
      </c>
    </row>
    <row r="137" spans="2:4" x14ac:dyDescent="0.25">
      <c r="B137" s="7" vm="207">
        <f ca="1"/>
        <v>45443</v>
      </c>
      <c r="C137" s="10" vm="208">
        <f ca="1"/>
        <v>9613738</v>
      </c>
      <c r="D137" t="e" vm="6">
        <f ca="1"/>
        <v>#VALUE!</v>
      </c>
    </row>
    <row r="138" spans="2:4" x14ac:dyDescent="0.25">
      <c r="B138" s="7" vm="209">
        <f ca="1"/>
        <v>45446</v>
      </c>
      <c r="C138" s="10" vm="210">
        <f ca="1"/>
        <v>2022074</v>
      </c>
      <c r="D138" t="e" vm="6">
        <f ca="1"/>
        <v>#VALUE!</v>
      </c>
    </row>
    <row r="139" spans="2:4" x14ac:dyDescent="0.25">
      <c r="B139" s="7" vm="211">
        <f ca="1"/>
        <v>45447</v>
      </c>
      <c r="C139" s="10" vm="212">
        <f ca="1"/>
        <v>5163530</v>
      </c>
      <c r="D139" t="e" vm="6">
        <f ca="1"/>
        <v>#VALUE!</v>
      </c>
    </row>
    <row r="140" spans="2:4" x14ac:dyDescent="0.25">
      <c r="B140" s="7" vm="213">
        <f ca="1"/>
        <v>45448</v>
      </c>
      <c r="C140" s="10" vm="214">
        <f ca="1"/>
        <v>5840955</v>
      </c>
      <c r="D140" t="e" vm="6">
        <f ca="1"/>
        <v>#VALUE!</v>
      </c>
    </row>
    <row r="141" spans="2:4" x14ac:dyDescent="0.25">
      <c r="B141" s="7" vm="215">
        <f ca="1"/>
        <v>45449</v>
      </c>
      <c r="C141" s="10" vm="216">
        <f ca="1"/>
        <v>1999280</v>
      </c>
      <c r="D141" t="e" vm="6">
        <f ca="1"/>
        <v>#VALUE!</v>
      </c>
    </row>
    <row r="142" spans="2:4" x14ac:dyDescent="0.25">
      <c r="B142" s="7" vm="217">
        <f ca="1"/>
        <v>45450</v>
      </c>
      <c r="C142" s="10" vm="218">
        <f ca="1"/>
        <v>3672331</v>
      </c>
      <c r="D142" t="e" vm="6">
        <f ca="1"/>
        <v>#VALUE!</v>
      </c>
    </row>
    <row r="143" spans="2:4" x14ac:dyDescent="0.25">
      <c r="B143" s="7" vm="219">
        <f ca="1"/>
        <v>45453</v>
      </c>
      <c r="C143" s="10" vm="220">
        <f ca="1"/>
        <v>2333264</v>
      </c>
      <c r="D143" t="e" vm="6">
        <f ca="1"/>
        <v>#VALUE!</v>
      </c>
    </row>
    <row r="144" spans="2:4" x14ac:dyDescent="0.25">
      <c r="B144" s="7" vm="221">
        <f ca="1"/>
        <v>45454</v>
      </c>
      <c r="C144" s="10" vm="222">
        <f ca="1"/>
        <v>2620109</v>
      </c>
      <c r="D144" t="e" vm="6">
        <f ca="1"/>
        <v>#VALUE!</v>
      </c>
    </row>
    <row r="145" spans="2:4" x14ac:dyDescent="0.25">
      <c r="B145" s="7" vm="223">
        <f ca="1"/>
        <v>45455</v>
      </c>
      <c r="C145" s="10" vm="224">
        <f ca="1"/>
        <v>2019786</v>
      </c>
      <c r="D145" t="e" vm="6">
        <f ca="1"/>
        <v>#VALUE!</v>
      </c>
    </row>
    <row r="146" spans="2:4" x14ac:dyDescent="0.25">
      <c r="B146" s="7" vm="225">
        <f ca="1"/>
        <v>45456</v>
      </c>
      <c r="C146" s="10" vm="226">
        <f ca="1"/>
        <v>5719664</v>
      </c>
      <c r="D146" t="e" vm="6">
        <f ca="1"/>
        <v>#VALUE!</v>
      </c>
    </row>
    <row r="147" spans="2:4" x14ac:dyDescent="0.25">
      <c r="B147" s="7" vm="227">
        <f ca="1"/>
        <v>45457</v>
      </c>
      <c r="C147" s="10" vm="228">
        <f ca="1"/>
        <v>4391685</v>
      </c>
      <c r="D147" t="e" vm="6">
        <f ca="1"/>
        <v>#VALUE!</v>
      </c>
    </row>
    <row r="148" spans="2:4" x14ac:dyDescent="0.25">
      <c r="B148" s="7" vm="229">
        <f ca="1"/>
        <v>45460</v>
      </c>
      <c r="C148" s="10" vm="230">
        <f ca="1"/>
        <v>4471162</v>
      </c>
      <c r="D148" t="e" vm="6">
        <f ca="1"/>
        <v>#VALUE!</v>
      </c>
    </row>
    <row r="149" spans="2:4" x14ac:dyDescent="0.25">
      <c r="B149" s="7" vm="231">
        <f ca="1"/>
        <v>45461</v>
      </c>
      <c r="C149" s="10" vm="232">
        <f ca="1"/>
        <v>3902935</v>
      </c>
      <c r="D149" t="e" vm="6">
        <f ca="1"/>
        <v>#VALUE!</v>
      </c>
    </row>
    <row r="150" spans="2:4" x14ac:dyDescent="0.25">
      <c r="B150" s="7" vm="233">
        <f ca="1"/>
        <v>45462</v>
      </c>
      <c r="C150" s="10" vm="234">
        <f ca="1"/>
        <v>5152017</v>
      </c>
      <c r="D150" t="e" vm="6">
        <f ca="1"/>
        <v>#VALUE!</v>
      </c>
    </row>
    <row r="151" spans="2:4" x14ac:dyDescent="0.25">
      <c r="B151" s="7" vm="235">
        <f ca="1"/>
        <v>45463</v>
      </c>
      <c r="C151" s="10" vm="236">
        <f ca="1"/>
        <v>4679990</v>
      </c>
      <c r="D151" t="e" vm="6">
        <f ca="1"/>
        <v>#VALUE!</v>
      </c>
    </row>
    <row r="152" spans="2:4" x14ac:dyDescent="0.25">
      <c r="B152" s="7" vm="237">
        <f ca="1"/>
        <v>45464</v>
      </c>
      <c r="C152" s="10" vm="238">
        <f ca="1"/>
        <v>6548268</v>
      </c>
      <c r="D152" t="e" vm="6">
        <f ca="1"/>
        <v>#VALUE!</v>
      </c>
    </row>
    <row r="153" spans="2:4" x14ac:dyDescent="0.25">
      <c r="B153" s="7" vm="239">
        <f ca="1"/>
        <v>45467</v>
      </c>
      <c r="C153" s="10" vm="240">
        <f ca="1"/>
        <v>2406274</v>
      </c>
      <c r="D153" t="e" vm="6">
        <f ca="1"/>
        <v>#VALUE!</v>
      </c>
    </row>
    <row r="154" spans="2:4" x14ac:dyDescent="0.25">
      <c r="B154" s="7" vm="241">
        <f ca="1"/>
        <v>45468</v>
      </c>
      <c r="C154" s="10" vm="242">
        <f ca="1"/>
        <v>3534491</v>
      </c>
      <c r="D154" t="e" vm="6">
        <f ca="1"/>
        <v>#VALUE!</v>
      </c>
    </row>
    <row r="155" spans="2:4" x14ac:dyDescent="0.25">
      <c r="B155" s="7" vm="243">
        <f ca="1"/>
        <v>45469</v>
      </c>
      <c r="C155" s="10" vm="244">
        <f ca="1"/>
        <v>3152427</v>
      </c>
      <c r="D155" t="e" vm="6">
        <f ca="1"/>
        <v>#VALUE!</v>
      </c>
    </row>
    <row r="156" spans="2:4" x14ac:dyDescent="0.25">
      <c r="B156" s="7" vm="245">
        <f ca="1"/>
        <v>45470</v>
      </c>
      <c r="C156" s="10" vm="246">
        <f ca="1"/>
        <v>2792954</v>
      </c>
      <c r="D156" t="e" vm="6">
        <f ca="1"/>
        <v>#VALUE!</v>
      </c>
    </row>
    <row r="157" spans="2:4" x14ac:dyDescent="0.25">
      <c r="B157" s="7" vm="247">
        <f ca="1"/>
        <v>45471</v>
      </c>
      <c r="C157" s="10" vm="248">
        <f ca="1"/>
        <v>3005067</v>
      </c>
      <c r="D157" t="e" vm="6">
        <f ca="1"/>
        <v>#VALUE!</v>
      </c>
    </row>
    <row r="158" spans="2:4" x14ac:dyDescent="0.25">
      <c r="B158" s="7" vm="249">
        <f ca="1"/>
        <v>45474</v>
      </c>
      <c r="C158" s="10" vm="250">
        <f ca="1"/>
        <v>2544729</v>
      </c>
      <c r="D158" t="e" vm="6">
        <f ca="1"/>
        <v>#VALUE!</v>
      </c>
    </row>
    <row r="159" spans="2:4" x14ac:dyDescent="0.25">
      <c r="B159" s="7" vm="251">
        <f ca="1"/>
        <v>45475</v>
      </c>
      <c r="C159" s="10" vm="252">
        <f ca="1"/>
        <v>3370258</v>
      </c>
      <c r="D159" t="e" vm="6">
        <f ca="1"/>
        <v>#VALUE!</v>
      </c>
    </row>
    <row r="160" spans="2:4" x14ac:dyDescent="0.25">
      <c r="B160" s="7" vm="253">
        <f ca="1"/>
        <v>45476</v>
      </c>
      <c r="C160" s="10" vm="254">
        <f ca="1"/>
        <v>4186686</v>
      </c>
      <c r="D160" t="e" vm="6">
        <f ca="1"/>
        <v>#VALUE!</v>
      </c>
    </row>
    <row r="161" spans="2:4" x14ac:dyDescent="0.25">
      <c r="B161" s="7" vm="255">
        <f ca="1"/>
        <v>45477</v>
      </c>
      <c r="C161" s="10" vm="256">
        <f ca="1"/>
        <v>1835832</v>
      </c>
      <c r="D161" t="e" vm="6">
        <f ca="1"/>
        <v>#VALUE!</v>
      </c>
    </row>
    <row r="162" spans="2:4" x14ac:dyDescent="0.25">
      <c r="B162" s="7" vm="257">
        <f ca="1"/>
        <v>45478</v>
      </c>
      <c r="C162" s="10" vm="258">
        <f ca="1"/>
        <v>2769807</v>
      </c>
      <c r="D162" t="e" vm="6">
        <f ca="1"/>
        <v>#VALUE!</v>
      </c>
    </row>
    <row r="163" spans="2:4" x14ac:dyDescent="0.25">
      <c r="B163" s="7" vm="259">
        <f ca="1"/>
        <v>45481</v>
      </c>
      <c r="C163" s="10" vm="260">
        <f ca="1"/>
        <v>3614706</v>
      </c>
      <c r="D163" t="e" vm="6">
        <f ca="1"/>
        <v>#VALUE!</v>
      </c>
    </row>
    <row r="164" spans="2:4" x14ac:dyDescent="0.25">
      <c r="B164" s="7" vm="261">
        <f ca="1"/>
        <v>45482</v>
      </c>
      <c r="C164" s="10" vm="262">
        <f ca="1"/>
        <v>3433149</v>
      </c>
      <c r="D164" t="e" vm="6">
        <f ca="1"/>
        <v>#VALUE!</v>
      </c>
    </row>
    <row r="165" spans="2:4" x14ac:dyDescent="0.25">
      <c r="B165" s="7" vm="263">
        <f ca="1"/>
        <v>45483</v>
      </c>
      <c r="C165" s="10" vm="264">
        <f ca="1"/>
        <v>2989383</v>
      </c>
      <c r="D165" t="e" vm="6">
        <f ca="1"/>
        <v>#VALUE!</v>
      </c>
    </row>
    <row r="166" spans="2:4" x14ac:dyDescent="0.25">
      <c r="B166" s="7" vm="265">
        <f ca="1"/>
        <v>45484</v>
      </c>
      <c r="C166" s="10" vm="266">
        <f ca="1"/>
        <v>3202996</v>
      </c>
      <c r="D166" t="e" vm="6">
        <f ca="1"/>
        <v>#VALUE!</v>
      </c>
    </row>
    <row r="167" spans="2:4" x14ac:dyDescent="0.25">
      <c r="B167" s="7" vm="267">
        <f ca="1"/>
        <v>45485</v>
      </c>
      <c r="C167" s="10" vm="268">
        <f ca="1"/>
        <v>3757327</v>
      </c>
      <c r="D167" t="e" vm="6">
        <f ca="1"/>
        <v>#VALUE!</v>
      </c>
    </row>
    <row r="168" spans="2:4" x14ac:dyDescent="0.25">
      <c r="B168" s="7" vm="269">
        <f ca="1"/>
        <v>45488</v>
      </c>
      <c r="C168" s="10" vm="270">
        <f ca="1"/>
        <v>4207151</v>
      </c>
      <c r="D168" t="e" vm="6">
        <f ca="1"/>
        <v>#VALUE!</v>
      </c>
    </row>
    <row r="169" spans="2:4" x14ac:dyDescent="0.25">
      <c r="B169" s="7" vm="271">
        <f ca="1"/>
        <v>45489</v>
      </c>
      <c r="C169" s="10" vm="272">
        <f ca="1"/>
        <v>3327868</v>
      </c>
      <c r="D169" t="e" vm="6">
        <f ca="1"/>
        <v>#VALUE!</v>
      </c>
    </row>
    <row r="170" spans="2:4" x14ac:dyDescent="0.25">
      <c r="B170" s="7" vm="273">
        <f ca="1"/>
        <v>45490</v>
      </c>
      <c r="C170" s="10" vm="274">
        <f ca="1"/>
        <v>2568737</v>
      </c>
      <c r="D170" t="e" vm="6">
        <f ca="1"/>
        <v>#VALUE!</v>
      </c>
    </row>
    <row r="171" spans="2:4" x14ac:dyDescent="0.25">
      <c r="B171" s="7" vm="275">
        <f ca="1"/>
        <v>45491</v>
      </c>
      <c r="C171" s="10" vm="276">
        <f ca="1"/>
        <v>3250089</v>
      </c>
      <c r="D171" t="e" vm="6">
        <f ca="1"/>
        <v>#VALUE!</v>
      </c>
    </row>
    <row r="172" spans="2:4" x14ac:dyDescent="0.25">
      <c r="B172" s="7" vm="277">
        <f ca="1"/>
        <v>45492</v>
      </c>
      <c r="C172" s="10" vm="278">
        <f ca="1"/>
        <v>4112739</v>
      </c>
      <c r="D172" t="e" vm="6">
        <f ca="1"/>
        <v>#VALUE!</v>
      </c>
    </row>
    <row r="173" spans="2:4" x14ac:dyDescent="0.25">
      <c r="B173" s="7" vm="279">
        <f ca="1"/>
        <v>45495</v>
      </c>
      <c r="C173" s="10" vm="280">
        <f ca="1"/>
        <v>3107518</v>
      </c>
      <c r="D173" t="e" vm="6">
        <f ca="1"/>
        <v>#VALUE!</v>
      </c>
    </row>
    <row r="174" spans="2:4" x14ac:dyDescent="0.25">
      <c r="B174" s="7" vm="281">
        <f ca="1"/>
        <v>45496</v>
      </c>
      <c r="C174" s="10" vm="282">
        <f ca="1"/>
        <v>8255576</v>
      </c>
      <c r="D174" t="e" vm="6">
        <f ca="1"/>
        <v>#VALUE!</v>
      </c>
    </row>
    <row r="175" spans="2:4" x14ac:dyDescent="0.25">
      <c r="B175" s="7" vm="283">
        <f ca="1"/>
        <v>45497</v>
      </c>
      <c r="C175" s="10" vm="284">
        <f ca="1"/>
        <v>4250032</v>
      </c>
      <c r="D175" t="e" vm="6">
        <f ca="1"/>
        <v>#VALUE!</v>
      </c>
    </row>
    <row r="176" spans="2:4" x14ac:dyDescent="0.25">
      <c r="B176" s="7" vm="285">
        <f ca="1"/>
        <v>45498</v>
      </c>
      <c r="C176" s="10" vm="286">
        <f ca="1"/>
        <v>5381382</v>
      </c>
      <c r="D176" t="e" vm="6">
        <f ca="1"/>
        <v>#VALUE!</v>
      </c>
    </row>
    <row r="177" spans="2:4" x14ac:dyDescent="0.25">
      <c r="B177" s="7" vm="287">
        <f ca="1"/>
        <v>45499</v>
      </c>
      <c r="C177" s="10" vm="288">
        <f ca="1"/>
        <v>3597069</v>
      </c>
      <c r="D177" t="e" vm="6">
        <f ca="1"/>
        <v>#VALUE!</v>
      </c>
    </row>
    <row r="178" spans="2:4" x14ac:dyDescent="0.25">
      <c r="B178" s="7" vm="289">
        <f ca="1"/>
        <v>45502</v>
      </c>
      <c r="C178" s="10" vm="290">
        <f ca="1"/>
        <v>2624147</v>
      </c>
      <c r="D178" t="e" vm="6">
        <f ca="1"/>
        <v>#VALUE!</v>
      </c>
    </row>
    <row r="179" spans="2:4" x14ac:dyDescent="0.25">
      <c r="B179" s="7" vm="291">
        <f ca="1"/>
        <v>45503</v>
      </c>
      <c r="C179" s="10" vm="292">
        <f ca="1"/>
        <v>5385434</v>
      </c>
      <c r="D179" t="e" vm="6">
        <f ca="1"/>
        <v>#VALUE!</v>
      </c>
    </row>
    <row r="180" spans="2:4" x14ac:dyDescent="0.25">
      <c r="B180" s="7" vm="293">
        <f ca="1"/>
        <v>45504</v>
      </c>
      <c r="C180" s="10" vm="294">
        <f ca="1"/>
        <v>6751798</v>
      </c>
      <c r="D180" t="e" vm="6">
        <f ca="1"/>
        <v>#VALUE!</v>
      </c>
    </row>
    <row r="181" spans="2:4" x14ac:dyDescent="0.25">
      <c r="B181" s="7" vm="295">
        <f ca="1"/>
        <v>45505</v>
      </c>
      <c r="C181" s="10" vm="296">
        <f ca="1"/>
        <v>4529981</v>
      </c>
      <c r="D181" t="e" vm="6">
        <f ca="1"/>
        <v>#VALUE!</v>
      </c>
    </row>
    <row r="182" spans="2:4" x14ac:dyDescent="0.25">
      <c r="B182" s="7" vm="297">
        <f ca="1"/>
        <v>45506</v>
      </c>
      <c r="C182" s="10" vm="298">
        <f ca="1"/>
        <v>3869939</v>
      </c>
      <c r="D182" t="e" vm="6">
        <f ca="1"/>
        <v>#VALUE!</v>
      </c>
    </row>
    <row r="183" spans="2:4" x14ac:dyDescent="0.25">
      <c r="B183" s="7" vm="299">
        <f ca="1"/>
        <v>45509</v>
      </c>
      <c r="C183" s="10" vm="300">
        <f ca="1"/>
        <v>5789068</v>
      </c>
      <c r="D183" t="e" vm="6">
        <f ca="1"/>
        <v>#VALUE!</v>
      </c>
    </row>
    <row r="184" spans="2:4" x14ac:dyDescent="0.25">
      <c r="B184" s="7" vm="301">
        <f ca="1"/>
        <v>45510</v>
      </c>
      <c r="C184" s="10" vm="302">
        <f ca="1"/>
        <v>4359377</v>
      </c>
      <c r="D184" t="e" vm="6">
        <f ca="1"/>
        <v>#VALUE!</v>
      </c>
    </row>
    <row r="185" spans="2:4" x14ac:dyDescent="0.25">
      <c r="B185" s="7" vm="303">
        <f ca="1"/>
        <v>45511</v>
      </c>
      <c r="C185" s="10" vm="304">
        <f ca="1"/>
        <v>3398545</v>
      </c>
      <c r="D185" t="e" vm="6">
        <f ca="1"/>
        <v>#VALUE!</v>
      </c>
    </row>
    <row r="186" spans="2:4" x14ac:dyDescent="0.25">
      <c r="B186" s="7" vm="305">
        <f ca="1"/>
        <v>45512</v>
      </c>
      <c r="C186" s="10" vm="306">
        <f ca="1"/>
        <v>3080574</v>
      </c>
      <c r="D186" t="e" vm="6">
        <f ca="1"/>
        <v>#VALUE!</v>
      </c>
    </row>
    <row r="187" spans="2:4" x14ac:dyDescent="0.25">
      <c r="B187" s="7" vm="307">
        <f ca="1"/>
        <v>45513</v>
      </c>
      <c r="C187" s="10" vm="308">
        <f ca="1"/>
        <v>3093447</v>
      </c>
      <c r="D187" t="e" vm="6">
        <f ca="1"/>
        <v>#VALUE!</v>
      </c>
    </row>
    <row r="188" spans="2:4" x14ac:dyDescent="0.25">
      <c r="B188" s="7" vm="309">
        <f ca="1"/>
        <v>45516</v>
      </c>
      <c r="C188" s="10" vm="310">
        <f ca="1"/>
        <v>2626042</v>
      </c>
      <c r="D188" t="e" vm="6">
        <f ca="1"/>
        <v>#VALUE!</v>
      </c>
    </row>
    <row r="189" spans="2:4" x14ac:dyDescent="0.25">
      <c r="B189" s="7" vm="311">
        <f ca="1"/>
        <v>45517</v>
      </c>
      <c r="C189" s="10" vm="312">
        <f ca="1"/>
        <v>2860715</v>
      </c>
      <c r="D189" t="e" vm="6">
        <f ca="1"/>
        <v>#VALUE!</v>
      </c>
    </row>
    <row r="190" spans="2:4" x14ac:dyDescent="0.25">
      <c r="B190" s="7" vm="313">
        <f ca="1"/>
        <v>45518</v>
      </c>
      <c r="C190" s="10" vm="314">
        <f ca="1"/>
        <v>2779513</v>
      </c>
      <c r="D190" t="e" vm="6">
        <f ca="1"/>
        <v>#VALUE!</v>
      </c>
    </row>
    <row r="191" spans="2:4" x14ac:dyDescent="0.25">
      <c r="B191" s="7" vm="315">
        <f ca="1"/>
        <v>45519</v>
      </c>
      <c r="C191" s="10" vm="316">
        <f ca="1"/>
        <v>2900745</v>
      </c>
      <c r="D191" t="e" vm="6">
        <f ca="1"/>
        <v>#VALUE!</v>
      </c>
    </row>
    <row r="192" spans="2:4" x14ac:dyDescent="0.25">
      <c r="B192" s="7" vm="317">
        <f ca="1"/>
        <v>45520</v>
      </c>
      <c r="C192" s="10" vm="318">
        <f ca="1"/>
        <v>4958608</v>
      </c>
      <c r="D192" t="e" vm="6">
        <f ca="1"/>
        <v>#VALUE!</v>
      </c>
    </row>
    <row r="193" spans="2:2" x14ac:dyDescent="0.25">
      <c r="B193" s="7"/>
    </row>
    <row r="194" spans="2:2" x14ac:dyDescent="0.25">
      <c r="B194" s="7"/>
    </row>
    <row r="195" spans="2:2" x14ac:dyDescent="0.25">
      <c r="B195" s="7"/>
    </row>
    <row r="196" spans="2:2" x14ac:dyDescent="0.25">
      <c r="B196" s="7"/>
    </row>
    <row r="197" spans="2:2" x14ac:dyDescent="0.25">
      <c r="B197" s="7"/>
    </row>
    <row r="198" spans="2:2" x14ac:dyDescent="0.25">
      <c r="B198" s="7"/>
    </row>
    <row r="199" spans="2:2" x14ac:dyDescent="0.25">
      <c r="B199" s="7"/>
    </row>
    <row r="200" spans="2:2" x14ac:dyDescent="0.25">
      <c r="B200" s="7"/>
    </row>
    <row r="201" spans="2:2" x14ac:dyDescent="0.25">
      <c r="B201" s="7"/>
    </row>
    <row r="202" spans="2:2" x14ac:dyDescent="0.25">
      <c r="B202" s="7"/>
    </row>
    <row r="203" spans="2:2" x14ac:dyDescent="0.25">
      <c r="B203" s="7"/>
    </row>
    <row r="204" spans="2:2" x14ac:dyDescent="0.25">
      <c r="B204" s="7"/>
    </row>
    <row r="205" spans="2:2" x14ac:dyDescent="0.25">
      <c r="B205" s="7"/>
    </row>
    <row r="206" spans="2:2" x14ac:dyDescent="0.25">
      <c r="B206" s="7"/>
    </row>
    <row r="207" spans="2:2" x14ac:dyDescent="0.25">
      <c r="B207" s="7"/>
    </row>
    <row r="208" spans="2:2" x14ac:dyDescent="0.25">
      <c r="B208" s="7"/>
    </row>
    <row r="209" spans="2:2" x14ac:dyDescent="0.25">
      <c r="B209" s="7"/>
    </row>
    <row r="210" spans="2:2" x14ac:dyDescent="0.25">
      <c r="B210" s="7"/>
    </row>
    <row r="211" spans="2:2" x14ac:dyDescent="0.25">
      <c r="B211" s="7"/>
    </row>
    <row r="212" spans="2:2" x14ac:dyDescent="0.25">
      <c r="B212" s="7"/>
    </row>
    <row r="213" spans="2:2" x14ac:dyDescent="0.25">
      <c r="B213" s="7"/>
    </row>
    <row r="214" spans="2:2" x14ac:dyDescent="0.25">
      <c r="B214" s="7"/>
    </row>
    <row r="215" spans="2:2" x14ac:dyDescent="0.25">
      <c r="B215" s="7"/>
    </row>
    <row r="216" spans="2:2" x14ac:dyDescent="0.25">
      <c r="B216" s="7"/>
    </row>
    <row r="217" spans="2:2" x14ac:dyDescent="0.25">
      <c r="B217" s="7"/>
    </row>
    <row r="218" spans="2:2" x14ac:dyDescent="0.25">
      <c r="B218" s="7"/>
    </row>
    <row r="219" spans="2:2" x14ac:dyDescent="0.25">
      <c r="B219" s="7"/>
    </row>
    <row r="220" spans="2:2" x14ac:dyDescent="0.25">
      <c r="B220" s="7"/>
    </row>
    <row r="221" spans="2:2" x14ac:dyDescent="0.25">
      <c r="B221" s="7"/>
    </row>
    <row r="222" spans="2:2" x14ac:dyDescent="0.25">
      <c r="B222" s="7"/>
    </row>
    <row r="223" spans="2:2" x14ac:dyDescent="0.25">
      <c r="B223" s="7"/>
    </row>
    <row r="224" spans="2:2" x14ac:dyDescent="0.25">
      <c r="B224" s="7"/>
    </row>
    <row r="225" spans="2:2" x14ac:dyDescent="0.25">
      <c r="B225" s="7"/>
    </row>
    <row r="226" spans="2:2" x14ac:dyDescent="0.25">
      <c r="B226" s="7"/>
    </row>
    <row r="227" spans="2:2" x14ac:dyDescent="0.25">
      <c r="B227" s="7"/>
    </row>
    <row r="228" spans="2:2" x14ac:dyDescent="0.25">
      <c r="B228" s="7"/>
    </row>
    <row r="229" spans="2:2" x14ac:dyDescent="0.25">
      <c r="B229" s="7"/>
    </row>
    <row r="230" spans="2:2" x14ac:dyDescent="0.25">
      <c r="B230" s="7"/>
    </row>
    <row r="231" spans="2:2" x14ac:dyDescent="0.25">
      <c r="B231" s="7"/>
    </row>
    <row r="232" spans="2:2" x14ac:dyDescent="0.25">
      <c r="B232" s="7"/>
    </row>
    <row r="233" spans="2:2" x14ac:dyDescent="0.25">
      <c r="B233" s="7"/>
    </row>
    <row r="234" spans="2:2" x14ac:dyDescent="0.25">
      <c r="B234" s="7"/>
    </row>
    <row r="235" spans="2:2" x14ac:dyDescent="0.25">
      <c r="B235" s="7"/>
    </row>
    <row r="236" spans="2:2" x14ac:dyDescent="0.25">
      <c r="B236" s="7"/>
    </row>
    <row r="237" spans="2:2" x14ac:dyDescent="0.25">
      <c r="B237" s="7"/>
    </row>
    <row r="238" spans="2:2" x14ac:dyDescent="0.25">
      <c r="B238" s="7"/>
    </row>
    <row r="239" spans="2:2" x14ac:dyDescent="0.25">
      <c r="B239" s="7"/>
    </row>
    <row r="240" spans="2:2" x14ac:dyDescent="0.25">
      <c r="B240" s="7"/>
    </row>
    <row r="241" spans="2:2" x14ac:dyDescent="0.25">
      <c r="B241" s="7"/>
    </row>
    <row r="242" spans="2:2" x14ac:dyDescent="0.25">
      <c r="B242" s="7"/>
    </row>
    <row r="243" spans="2:2" x14ac:dyDescent="0.25">
      <c r="B243" s="7"/>
    </row>
    <row r="244" spans="2:2" x14ac:dyDescent="0.25">
      <c r="B244" s="7"/>
    </row>
    <row r="245" spans="2:2" x14ac:dyDescent="0.25">
      <c r="B245" s="7"/>
    </row>
    <row r="246" spans="2:2" x14ac:dyDescent="0.25">
      <c r="B246" s="7"/>
    </row>
    <row r="247" spans="2:2" x14ac:dyDescent="0.25">
      <c r="B247" s="7"/>
    </row>
    <row r="248" spans="2:2" x14ac:dyDescent="0.25">
      <c r="B248" s="7"/>
    </row>
    <row r="249" spans="2:2" x14ac:dyDescent="0.25">
      <c r="B249" s="7"/>
    </row>
    <row r="250" spans="2:2" x14ac:dyDescent="0.25">
      <c r="B250" s="7"/>
    </row>
    <row r="251" spans="2:2" x14ac:dyDescent="0.25">
      <c r="B251" s="7"/>
    </row>
    <row r="252" spans="2:2" x14ac:dyDescent="0.25">
      <c r="B252" s="7"/>
    </row>
    <row r="253" spans="2:2" x14ac:dyDescent="0.25">
      <c r="B253" s="7"/>
    </row>
    <row r="254" spans="2:2" x14ac:dyDescent="0.25">
      <c r="B254" s="7"/>
    </row>
    <row r="255" spans="2:2" x14ac:dyDescent="0.25">
      <c r="B255" s="7"/>
    </row>
    <row r="256" spans="2:2" x14ac:dyDescent="0.25">
      <c r="B256" s="7"/>
    </row>
    <row r="257" spans="2:2" x14ac:dyDescent="0.25">
      <c r="B257" s="7"/>
    </row>
    <row r="258" spans="2:2" x14ac:dyDescent="0.25">
      <c r="B258" s="7"/>
    </row>
    <row r="259" spans="2:2" x14ac:dyDescent="0.25">
      <c r="B259" s="7"/>
    </row>
    <row r="260" spans="2:2" x14ac:dyDescent="0.25">
      <c r="B260" s="7"/>
    </row>
    <row r="261" spans="2:2" x14ac:dyDescent="0.25">
      <c r="B261" s="7"/>
    </row>
    <row r="262" spans="2:2" x14ac:dyDescent="0.25">
      <c r="B262" s="7"/>
    </row>
    <row r="263" spans="2:2" x14ac:dyDescent="0.25">
      <c r="B263" s="7"/>
    </row>
    <row r="264" spans="2:2" x14ac:dyDescent="0.25">
      <c r="B264" s="7"/>
    </row>
    <row r="265" spans="2:2" x14ac:dyDescent="0.25">
      <c r="B265" s="7"/>
    </row>
    <row r="266" spans="2:2" x14ac:dyDescent="0.25">
      <c r="B266" s="7"/>
    </row>
    <row r="267" spans="2:2" x14ac:dyDescent="0.25">
      <c r="B267" s="7"/>
    </row>
    <row r="268" spans="2:2" x14ac:dyDescent="0.25">
      <c r="B268" s="7"/>
    </row>
    <row r="269" spans="2:2" x14ac:dyDescent="0.25">
      <c r="B269" s="7"/>
    </row>
    <row r="270" spans="2:2" x14ac:dyDescent="0.25">
      <c r="B270" s="7"/>
    </row>
    <row r="271" spans="2:2" x14ac:dyDescent="0.25">
      <c r="B271" s="7"/>
    </row>
    <row r="272" spans="2:2" x14ac:dyDescent="0.25">
      <c r="B272" s="7"/>
    </row>
    <row r="273" spans="2:2" x14ac:dyDescent="0.25">
      <c r="B273" s="7"/>
    </row>
    <row r="274" spans="2:2" x14ac:dyDescent="0.25">
      <c r="B274" s="7"/>
    </row>
    <row r="275" spans="2:2" x14ac:dyDescent="0.25">
      <c r="B275" s="7"/>
    </row>
    <row r="276" spans="2:2" x14ac:dyDescent="0.25">
      <c r="B276" s="7"/>
    </row>
    <row r="277" spans="2:2" x14ac:dyDescent="0.25">
      <c r="B277" s="7"/>
    </row>
    <row r="278" spans="2:2" x14ac:dyDescent="0.25">
      <c r="B278" s="7"/>
    </row>
    <row r="279" spans="2:2" x14ac:dyDescent="0.25">
      <c r="B279" s="7"/>
    </row>
    <row r="280" spans="2:2" x14ac:dyDescent="0.25">
      <c r="B280" s="7"/>
    </row>
    <row r="281" spans="2:2" x14ac:dyDescent="0.25">
      <c r="B281" s="7"/>
    </row>
    <row r="282" spans="2:2" x14ac:dyDescent="0.25">
      <c r="B282" s="7"/>
    </row>
    <row r="283" spans="2:2" x14ac:dyDescent="0.25">
      <c r="B283" s="7"/>
    </row>
    <row r="284" spans="2:2" x14ac:dyDescent="0.25">
      <c r="B284" s="7"/>
    </row>
    <row r="285" spans="2:2" x14ac:dyDescent="0.25">
      <c r="B285" s="7"/>
    </row>
    <row r="286" spans="2:2" x14ac:dyDescent="0.25">
      <c r="B286" s="7"/>
    </row>
    <row r="287" spans="2:2" x14ac:dyDescent="0.25">
      <c r="B287" s="7"/>
    </row>
    <row r="288" spans="2:2" x14ac:dyDescent="0.25">
      <c r="B288" s="7"/>
    </row>
    <row r="289" spans="2:2" x14ac:dyDescent="0.25">
      <c r="B289" s="7"/>
    </row>
    <row r="290" spans="2:2" x14ac:dyDescent="0.25">
      <c r="B290" s="7"/>
    </row>
    <row r="291" spans="2:2" x14ac:dyDescent="0.25">
      <c r="B291" s="7"/>
    </row>
    <row r="292" spans="2:2" x14ac:dyDescent="0.25">
      <c r="B292" s="7"/>
    </row>
    <row r="293" spans="2:2" x14ac:dyDescent="0.25">
      <c r="B293" s="7"/>
    </row>
    <row r="294" spans="2:2" x14ac:dyDescent="0.25">
      <c r="B294" s="7"/>
    </row>
    <row r="295" spans="2:2" x14ac:dyDescent="0.25">
      <c r="B295" s="7"/>
    </row>
    <row r="296" spans="2:2" x14ac:dyDescent="0.25">
      <c r="B296" s="7"/>
    </row>
    <row r="297" spans="2:2" x14ac:dyDescent="0.25">
      <c r="B297" s="7"/>
    </row>
    <row r="298" spans="2:2" x14ac:dyDescent="0.25">
      <c r="B298" s="7"/>
    </row>
    <row r="299" spans="2:2" x14ac:dyDescent="0.25">
      <c r="B299" s="7"/>
    </row>
    <row r="300" spans="2:2" x14ac:dyDescent="0.25">
      <c r="B300" s="7"/>
    </row>
    <row r="301" spans="2:2" x14ac:dyDescent="0.25">
      <c r="B301" s="7"/>
    </row>
    <row r="302" spans="2:2" x14ac:dyDescent="0.25">
      <c r="B302" s="7"/>
    </row>
    <row r="303" spans="2:2" x14ac:dyDescent="0.25">
      <c r="B303" s="7"/>
    </row>
    <row r="304" spans="2:2" x14ac:dyDescent="0.25">
      <c r="B304" s="7"/>
    </row>
    <row r="305" spans="2:2" x14ac:dyDescent="0.25">
      <c r="B305" s="7"/>
    </row>
    <row r="306" spans="2:2" x14ac:dyDescent="0.25">
      <c r="B306" s="7"/>
    </row>
    <row r="307" spans="2:2" x14ac:dyDescent="0.25">
      <c r="B307" s="7"/>
    </row>
    <row r="308" spans="2:2" x14ac:dyDescent="0.25">
      <c r="B308" s="7"/>
    </row>
    <row r="309" spans="2:2" x14ac:dyDescent="0.25">
      <c r="B309" s="7"/>
    </row>
    <row r="310" spans="2:2" x14ac:dyDescent="0.25">
      <c r="B310" s="7"/>
    </row>
    <row r="311" spans="2:2" x14ac:dyDescent="0.25">
      <c r="B311" s="7"/>
    </row>
    <row r="312" spans="2:2" x14ac:dyDescent="0.25">
      <c r="B312" s="7"/>
    </row>
    <row r="313" spans="2:2" x14ac:dyDescent="0.25">
      <c r="B313" s="7"/>
    </row>
    <row r="314" spans="2:2" x14ac:dyDescent="0.25">
      <c r="B314" s="7"/>
    </row>
    <row r="315" spans="2:2" x14ac:dyDescent="0.25">
      <c r="B315" s="7"/>
    </row>
    <row r="316" spans="2:2" x14ac:dyDescent="0.25">
      <c r="B316" s="7"/>
    </row>
    <row r="317" spans="2:2" x14ac:dyDescent="0.25">
      <c r="B317" s="7"/>
    </row>
    <row r="318" spans="2:2" x14ac:dyDescent="0.25">
      <c r="B318" s="7"/>
    </row>
    <row r="319" spans="2:2" x14ac:dyDescent="0.25">
      <c r="B319" s="7"/>
    </row>
    <row r="320" spans="2:2" x14ac:dyDescent="0.25">
      <c r="B320" s="7"/>
    </row>
    <row r="321" spans="2:2" x14ac:dyDescent="0.25">
      <c r="B321" s="7"/>
    </row>
    <row r="322" spans="2:2" x14ac:dyDescent="0.25">
      <c r="B322" s="7"/>
    </row>
    <row r="323" spans="2:2" x14ac:dyDescent="0.25">
      <c r="B323" s="7"/>
    </row>
    <row r="324" spans="2:2" x14ac:dyDescent="0.25">
      <c r="B324" s="7"/>
    </row>
    <row r="325" spans="2:2" x14ac:dyDescent="0.25">
      <c r="B325" s="7"/>
    </row>
    <row r="326" spans="2:2" x14ac:dyDescent="0.25">
      <c r="B326" s="7"/>
    </row>
    <row r="327" spans="2:2" x14ac:dyDescent="0.25">
      <c r="B327" s="7"/>
    </row>
    <row r="328" spans="2:2" x14ac:dyDescent="0.25">
      <c r="B328" s="7"/>
    </row>
    <row r="329" spans="2:2" x14ac:dyDescent="0.25">
      <c r="B329" s="7"/>
    </row>
    <row r="330" spans="2:2" x14ac:dyDescent="0.25">
      <c r="B330" s="7"/>
    </row>
    <row r="331" spans="2:2" x14ac:dyDescent="0.25">
      <c r="B331" s="7"/>
    </row>
    <row r="332" spans="2:2" x14ac:dyDescent="0.25">
      <c r="B332" s="7"/>
    </row>
    <row r="333" spans="2:2" x14ac:dyDescent="0.25">
      <c r="B333" s="7"/>
    </row>
    <row r="334" spans="2:2" x14ac:dyDescent="0.25">
      <c r="B334" s="7"/>
    </row>
    <row r="335" spans="2:2" x14ac:dyDescent="0.25">
      <c r="B335" s="7"/>
    </row>
    <row r="336" spans="2:2" x14ac:dyDescent="0.25">
      <c r="B336" s="7"/>
    </row>
    <row r="337" spans="2:2" x14ac:dyDescent="0.25">
      <c r="B337" s="7"/>
    </row>
    <row r="338" spans="2:2" x14ac:dyDescent="0.25">
      <c r="B338" s="7"/>
    </row>
    <row r="339" spans="2:2" x14ac:dyDescent="0.25">
      <c r="B339" s="7"/>
    </row>
    <row r="340" spans="2:2" x14ac:dyDescent="0.25">
      <c r="B340" s="7"/>
    </row>
    <row r="341" spans="2:2" x14ac:dyDescent="0.25">
      <c r="B341" s="7"/>
    </row>
    <row r="342" spans="2:2" x14ac:dyDescent="0.25">
      <c r="B342" s="7"/>
    </row>
    <row r="343" spans="2:2" x14ac:dyDescent="0.25">
      <c r="B343" s="7"/>
    </row>
    <row r="344" spans="2:2" x14ac:dyDescent="0.25">
      <c r="B344" s="7"/>
    </row>
    <row r="345" spans="2:2" x14ac:dyDescent="0.25">
      <c r="B345" s="7"/>
    </row>
    <row r="346" spans="2:2" x14ac:dyDescent="0.25">
      <c r="B346" s="7"/>
    </row>
    <row r="347" spans="2:2" x14ac:dyDescent="0.25">
      <c r="B347" s="7"/>
    </row>
    <row r="348" spans="2:2" x14ac:dyDescent="0.25">
      <c r="B348" s="7"/>
    </row>
    <row r="349" spans="2:2" x14ac:dyDescent="0.25">
      <c r="B349" s="7"/>
    </row>
    <row r="350" spans="2:2" x14ac:dyDescent="0.25">
      <c r="B350" s="7"/>
    </row>
    <row r="351" spans="2:2" x14ac:dyDescent="0.25">
      <c r="B351" s="7"/>
    </row>
    <row r="352" spans="2:2" x14ac:dyDescent="0.25">
      <c r="B352" s="7"/>
    </row>
    <row r="353" spans="2:2" x14ac:dyDescent="0.25">
      <c r="B353" s="7"/>
    </row>
    <row r="354" spans="2:2" x14ac:dyDescent="0.25">
      <c r="B354" s="7"/>
    </row>
    <row r="355" spans="2:2" x14ac:dyDescent="0.25">
      <c r="B355" s="7"/>
    </row>
    <row r="356" spans="2:2" x14ac:dyDescent="0.25">
      <c r="B356" s="7"/>
    </row>
    <row r="357" spans="2:2" x14ac:dyDescent="0.25">
      <c r="B357" s="7"/>
    </row>
    <row r="358" spans="2:2" x14ac:dyDescent="0.25">
      <c r="B358" s="7"/>
    </row>
    <row r="359" spans="2:2" x14ac:dyDescent="0.25">
      <c r="B359" s="7"/>
    </row>
    <row r="360" spans="2:2" x14ac:dyDescent="0.25">
      <c r="B360" s="7"/>
    </row>
    <row r="361" spans="2:2" x14ac:dyDescent="0.25">
      <c r="B361" s="7"/>
    </row>
    <row r="362" spans="2:2" x14ac:dyDescent="0.25">
      <c r="B362" s="7"/>
    </row>
    <row r="363" spans="2:2" x14ac:dyDescent="0.25">
      <c r="B363" s="7"/>
    </row>
    <row r="364" spans="2:2" x14ac:dyDescent="0.25">
      <c r="B364" s="7"/>
    </row>
    <row r="365" spans="2:2" x14ac:dyDescent="0.25">
      <c r="B365" s="7"/>
    </row>
    <row r="366" spans="2:2" x14ac:dyDescent="0.25">
      <c r="B366" s="7"/>
    </row>
    <row r="367" spans="2:2" x14ac:dyDescent="0.25">
      <c r="B367" s="7"/>
    </row>
    <row r="368" spans="2:2" x14ac:dyDescent="0.25">
      <c r="B368" s="7"/>
    </row>
    <row r="369" spans="2:2" x14ac:dyDescent="0.25">
      <c r="B369" s="7"/>
    </row>
    <row r="370" spans="2:2" x14ac:dyDescent="0.25">
      <c r="B370" s="7"/>
    </row>
    <row r="371" spans="2:2" x14ac:dyDescent="0.25">
      <c r="B371" s="7"/>
    </row>
    <row r="372" spans="2:2" x14ac:dyDescent="0.25">
      <c r="B372" s="7"/>
    </row>
    <row r="373" spans="2:2" x14ac:dyDescent="0.25">
      <c r="B373" s="7"/>
    </row>
    <row r="374" spans="2:2" x14ac:dyDescent="0.25">
      <c r="B374" s="7"/>
    </row>
    <row r="375" spans="2:2" x14ac:dyDescent="0.25">
      <c r="B375" s="7"/>
    </row>
    <row r="376" spans="2:2" x14ac:dyDescent="0.25">
      <c r="B376" s="7"/>
    </row>
    <row r="377" spans="2:2" x14ac:dyDescent="0.25">
      <c r="B377" s="7"/>
    </row>
    <row r="378" spans="2:2" x14ac:dyDescent="0.25">
      <c r="B378" s="7"/>
    </row>
    <row r="379" spans="2:2" x14ac:dyDescent="0.25">
      <c r="B379" s="7"/>
    </row>
    <row r="380" spans="2:2" x14ac:dyDescent="0.25">
      <c r="B380" s="7"/>
    </row>
    <row r="381" spans="2:2" x14ac:dyDescent="0.25">
      <c r="B381" s="7"/>
    </row>
    <row r="382" spans="2:2" x14ac:dyDescent="0.25">
      <c r="B382" s="7"/>
    </row>
    <row r="383" spans="2:2" x14ac:dyDescent="0.25">
      <c r="B383" s="7"/>
    </row>
    <row r="384" spans="2:2" x14ac:dyDescent="0.25">
      <c r="B384" s="7"/>
    </row>
    <row r="385" spans="2:2" x14ac:dyDescent="0.25">
      <c r="B385" s="7"/>
    </row>
    <row r="386" spans="2:2" x14ac:dyDescent="0.25">
      <c r="B386" s="7"/>
    </row>
    <row r="387" spans="2:2" x14ac:dyDescent="0.25">
      <c r="B387" s="7"/>
    </row>
    <row r="388" spans="2:2" x14ac:dyDescent="0.25">
      <c r="B388" s="7"/>
    </row>
    <row r="389" spans="2:2" x14ac:dyDescent="0.25">
      <c r="B389" s="7"/>
    </row>
    <row r="390" spans="2:2" x14ac:dyDescent="0.25">
      <c r="B390" s="7"/>
    </row>
    <row r="391" spans="2:2" x14ac:dyDescent="0.25">
      <c r="B391" s="7"/>
    </row>
    <row r="392" spans="2:2" x14ac:dyDescent="0.25">
      <c r="B392" s="7"/>
    </row>
    <row r="393" spans="2:2" x14ac:dyDescent="0.25">
      <c r="B393" s="7"/>
    </row>
    <row r="394" spans="2:2" x14ac:dyDescent="0.25">
      <c r="B394" s="7"/>
    </row>
    <row r="395" spans="2:2" x14ac:dyDescent="0.25">
      <c r="B395" s="7"/>
    </row>
    <row r="396" spans="2:2" x14ac:dyDescent="0.25">
      <c r="B396" s="7"/>
    </row>
    <row r="397" spans="2:2" x14ac:dyDescent="0.25">
      <c r="B397" s="7"/>
    </row>
    <row r="398" spans="2:2" x14ac:dyDescent="0.25">
      <c r="B398" s="7"/>
    </row>
    <row r="399" spans="2:2" x14ac:dyDescent="0.25">
      <c r="B399" s="7"/>
    </row>
    <row r="400" spans="2:2" x14ac:dyDescent="0.25">
      <c r="B400" s="7"/>
    </row>
    <row r="401" spans="2:2" x14ac:dyDescent="0.25">
      <c r="B401" s="7"/>
    </row>
    <row r="402" spans="2:2" x14ac:dyDescent="0.25">
      <c r="B402" s="7"/>
    </row>
    <row r="403" spans="2:2" x14ac:dyDescent="0.25">
      <c r="B403" s="7"/>
    </row>
    <row r="404" spans="2:2" x14ac:dyDescent="0.25">
      <c r="B404" s="7"/>
    </row>
    <row r="405" spans="2:2" x14ac:dyDescent="0.25">
      <c r="B405" s="7"/>
    </row>
    <row r="406" spans="2:2" x14ac:dyDescent="0.25">
      <c r="B406" s="7"/>
    </row>
    <row r="407" spans="2:2" x14ac:dyDescent="0.25">
      <c r="B407" s="7"/>
    </row>
    <row r="408" spans="2:2" x14ac:dyDescent="0.25">
      <c r="B408" s="7"/>
    </row>
    <row r="409" spans="2:2" x14ac:dyDescent="0.25">
      <c r="B409" s="7"/>
    </row>
    <row r="410" spans="2:2" x14ac:dyDescent="0.25">
      <c r="B410" s="7"/>
    </row>
    <row r="411" spans="2:2" x14ac:dyDescent="0.25">
      <c r="B411" s="7"/>
    </row>
    <row r="412" spans="2:2" x14ac:dyDescent="0.25">
      <c r="B412" s="7"/>
    </row>
    <row r="413" spans="2:2" x14ac:dyDescent="0.25">
      <c r="B413" s="7"/>
    </row>
    <row r="414" spans="2:2" x14ac:dyDescent="0.25">
      <c r="B414" s="7"/>
    </row>
    <row r="415" spans="2:2" x14ac:dyDescent="0.25">
      <c r="B415" s="7"/>
    </row>
    <row r="416" spans="2:2" x14ac:dyDescent="0.25">
      <c r="B416" s="7"/>
    </row>
    <row r="417" spans="2:2" x14ac:dyDescent="0.25">
      <c r="B417" s="7"/>
    </row>
    <row r="418" spans="2:2" x14ac:dyDescent="0.25">
      <c r="B418" s="7"/>
    </row>
    <row r="419" spans="2:2" x14ac:dyDescent="0.25">
      <c r="B419" s="7"/>
    </row>
    <row r="420" spans="2:2" x14ac:dyDescent="0.25">
      <c r="B420" s="7"/>
    </row>
    <row r="421" spans="2:2" x14ac:dyDescent="0.25">
      <c r="B421" s="7"/>
    </row>
    <row r="422" spans="2:2" x14ac:dyDescent="0.25">
      <c r="B422" s="7"/>
    </row>
    <row r="423" spans="2:2" x14ac:dyDescent="0.25">
      <c r="B423" s="7"/>
    </row>
    <row r="424" spans="2:2" x14ac:dyDescent="0.25">
      <c r="B424" s="7"/>
    </row>
    <row r="425" spans="2:2" x14ac:dyDescent="0.25">
      <c r="B425" s="7"/>
    </row>
    <row r="426" spans="2:2" x14ac:dyDescent="0.25">
      <c r="B426" s="7"/>
    </row>
    <row r="427" spans="2:2" x14ac:dyDescent="0.25">
      <c r="B427" s="7"/>
    </row>
    <row r="428" spans="2:2" x14ac:dyDescent="0.25">
      <c r="B428" s="7"/>
    </row>
    <row r="429" spans="2:2" x14ac:dyDescent="0.25">
      <c r="B429" s="7"/>
    </row>
    <row r="430" spans="2:2" x14ac:dyDescent="0.25">
      <c r="B430" s="7"/>
    </row>
    <row r="431" spans="2:2" x14ac:dyDescent="0.25">
      <c r="B431" s="7"/>
    </row>
    <row r="432" spans="2:2" x14ac:dyDescent="0.25">
      <c r="B432" s="7"/>
    </row>
    <row r="433" spans="2:2" x14ac:dyDescent="0.25">
      <c r="B433" s="7"/>
    </row>
    <row r="434" spans="2:2" x14ac:dyDescent="0.25">
      <c r="B434" s="7"/>
    </row>
    <row r="435" spans="2:2" x14ac:dyDescent="0.25">
      <c r="B435" s="7"/>
    </row>
    <row r="436" spans="2:2" x14ac:dyDescent="0.25">
      <c r="B436" s="7"/>
    </row>
    <row r="437" spans="2:2" x14ac:dyDescent="0.25">
      <c r="B437" s="7"/>
    </row>
    <row r="438" spans="2:2" x14ac:dyDescent="0.25">
      <c r="B438" s="7"/>
    </row>
    <row r="439" spans="2:2" x14ac:dyDescent="0.25">
      <c r="B439" s="7"/>
    </row>
    <row r="440" spans="2:2" x14ac:dyDescent="0.25">
      <c r="B440" s="7"/>
    </row>
    <row r="441" spans="2:2" x14ac:dyDescent="0.25">
      <c r="B441" s="7"/>
    </row>
    <row r="442" spans="2:2" x14ac:dyDescent="0.25">
      <c r="B442" s="7"/>
    </row>
    <row r="443" spans="2:2" x14ac:dyDescent="0.25">
      <c r="B443" s="7"/>
    </row>
    <row r="444" spans="2:2" x14ac:dyDescent="0.25">
      <c r="B444" s="7"/>
    </row>
    <row r="445" spans="2:2" x14ac:dyDescent="0.25">
      <c r="B445" s="7"/>
    </row>
    <row r="446" spans="2:2" x14ac:dyDescent="0.25">
      <c r="B446" s="7"/>
    </row>
    <row r="447" spans="2:2" x14ac:dyDescent="0.25">
      <c r="B447" s="7"/>
    </row>
    <row r="448" spans="2:2" x14ac:dyDescent="0.25">
      <c r="B448" s="7"/>
    </row>
    <row r="449" spans="2:2" x14ac:dyDescent="0.25">
      <c r="B449" s="7"/>
    </row>
    <row r="450" spans="2:2" x14ac:dyDescent="0.25">
      <c r="B450" s="7"/>
    </row>
    <row r="451" spans="2:2" x14ac:dyDescent="0.25">
      <c r="B451" s="7"/>
    </row>
    <row r="452" spans="2:2" x14ac:dyDescent="0.25">
      <c r="B452" s="7"/>
    </row>
    <row r="453" spans="2:2" x14ac:dyDescent="0.25">
      <c r="B453" s="7"/>
    </row>
    <row r="454" spans="2:2" x14ac:dyDescent="0.25">
      <c r="B454" s="7"/>
    </row>
    <row r="455" spans="2:2" x14ac:dyDescent="0.25">
      <c r="B455" s="7"/>
    </row>
    <row r="456" spans="2:2" x14ac:dyDescent="0.25">
      <c r="B456" s="7"/>
    </row>
    <row r="457" spans="2:2" x14ac:dyDescent="0.25">
      <c r="B457" s="7"/>
    </row>
    <row r="458" spans="2:2" x14ac:dyDescent="0.25">
      <c r="B458" s="7"/>
    </row>
    <row r="459" spans="2:2" x14ac:dyDescent="0.25">
      <c r="B459" s="7"/>
    </row>
    <row r="460" spans="2:2" x14ac:dyDescent="0.25">
      <c r="B460" s="7"/>
    </row>
    <row r="461" spans="2:2" x14ac:dyDescent="0.25">
      <c r="B461" s="7"/>
    </row>
    <row r="462" spans="2:2" x14ac:dyDescent="0.25">
      <c r="B462" s="7"/>
    </row>
    <row r="463" spans="2:2" x14ac:dyDescent="0.25">
      <c r="B463" s="7"/>
    </row>
    <row r="464" spans="2:2" x14ac:dyDescent="0.25">
      <c r="B464" s="7"/>
    </row>
    <row r="465" spans="2:2" x14ac:dyDescent="0.25">
      <c r="B465" s="7"/>
    </row>
    <row r="466" spans="2:2" x14ac:dyDescent="0.25">
      <c r="B466" s="7"/>
    </row>
    <row r="467" spans="2:2" x14ac:dyDescent="0.25">
      <c r="B467" s="7"/>
    </row>
    <row r="468" spans="2:2" x14ac:dyDescent="0.25">
      <c r="B468" s="7"/>
    </row>
    <row r="469" spans="2:2" x14ac:dyDescent="0.25">
      <c r="B469" s="7"/>
    </row>
    <row r="470" spans="2:2" x14ac:dyDescent="0.25">
      <c r="B470" s="7"/>
    </row>
    <row r="471" spans="2:2" x14ac:dyDescent="0.25">
      <c r="B471" s="7"/>
    </row>
    <row r="472" spans="2:2" x14ac:dyDescent="0.25">
      <c r="B472" s="7"/>
    </row>
    <row r="473" spans="2:2" x14ac:dyDescent="0.25">
      <c r="B473" s="7"/>
    </row>
    <row r="474" spans="2:2" x14ac:dyDescent="0.25">
      <c r="B474" s="7"/>
    </row>
    <row r="475" spans="2:2" x14ac:dyDescent="0.25">
      <c r="B475" s="7"/>
    </row>
    <row r="476" spans="2:2" x14ac:dyDescent="0.25">
      <c r="B476" s="7"/>
    </row>
    <row r="477" spans="2:2" x14ac:dyDescent="0.25">
      <c r="B477" s="7"/>
    </row>
    <row r="478" spans="2:2" x14ac:dyDescent="0.25">
      <c r="B478" s="7"/>
    </row>
    <row r="479" spans="2:2" x14ac:dyDescent="0.25">
      <c r="B479" s="7"/>
    </row>
    <row r="480" spans="2:2" x14ac:dyDescent="0.25">
      <c r="B480" s="7"/>
    </row>
    <row r="481" spans="2:2" x14ac:dyDescent="0.25">
      <c r="B481" s="7"/>
    </row>
    <row r="482" spans="2:2" x14ac:dyDescent="0.25">
      <c r="B482" s="7"/>
    </row>
    <row r="483" spans="2:2" x14ac:dyDescent="0.25">
      <c r="B483" s="7"/>
    </row>
    <row r="484" spans="2:2" x14ac:dyDescent="0.25">
      <c r="B484" s="7"/>
    </row>
    <row r="485" spans="2:2" x14ac:dyDescent="0.25">
      <c r="B485" s="7"/>
    </row>
    <row r="486" spans="2:2" x14ac:dyDescent="0.25">
      <c r="B486" s="7"/>
    </row>
    <row r="487" spans="2:2" x14ac:dyDescent="0.25">
      <c r="B487" s="7"/>
    </row>
    <row r="488" spans="2:2" x14ac:dyDescent="0.25">
      <c r="B488" s="7"/>
    </row>
    <row r="489" spans="2:2" x14ac:dyDescent="0.25">
      <c r="B489" s="7"/>
    </row>
    <row r="490" spans="2:2" x14ac:dyDescent="0.25">
      <c r="B490" s="7"/>
    </row>
    <row r="491" spans="2:2" x14ac:dyDescent="0.25">
      <c r="B491" s="7"/>
    </row>
    <row r="492" spans="2:2" x14ac:dyDescent="0.25">
      <c r="B492" s="7"/>
    </row>
    <row r="493" spans="2:2" x14ac:dyDescent="0.25">
      <c r="B493" s="7"/>
    </row>
    <row r="494" spans="2:2" x14ac:dyDescent="0.25">
      <c r="B494" s="7"/>
    </row>
    <row r="495" spans="2:2" x14ac:dyDescent="0.25">
      <c r="B495" s="7"/>
    </row>
    <row r="496" spans="2:2" x14ac:dyDescent="0.25">
      <c r="B496" s="7"/>
    </row>
    <row r="497" spans="2:2" x14ac:dyDescent="0.25">
      <c r="B497" s="7"/>
    </row>
    <row r="498" spans="2:2" x14ac:dyDescent="0.25">
      <c r="B498" s="7"/>
    </row>
    <row r="499" spans="2:2" x14ac:dyDescent="0.25">
      <c r="B499" s="7"/>
    </row>
    <row r="500" spans="2:2" x14ac:dyDescent="0.25">
      <c r="B500" s="7"/>
    </row>
    <row r="501" spans="2:2" x14ac:dyDescent="0.25">
      <c r="B501" s="7"/>
    </row>
    <row r="502" spans="2:2" x14ac:dyDescent="0.25">
      <c r="B502" s="7"/>
    </row>
    <row r="503" spans="2:2" x14ac:dyDescent="0.25">
      <c r="B503" s="7"/>
    </row>
    <row r="504" spans="2:2" x14ac:dyDescent="0.25">
      <c r="B504" s="7"/>
    </row>
    <row r="505" spans="2:2" x14ac:dyDescent="0.25">
      <c r="B505" s="7"/>
    </row>
    <row r="506" spans="2:2" x14ac:dyDescent="0.25">
      <c r="B506" s="7"/>
    </row>
    <row r="507" spans="2:2" x14ac:dyDescent="0.25">
      <c r="B507" s="7"/>
    </row>
    <row r="508" spans="2:2" x14ac:dyDescent="0.25">
      <c r="B508" s="7"/>
    </row>
    <row r="509" spans="2:2" x14ac:dyDescent="0.25">
      <c r="B509" s="7"/>
    </row>
    <row r="510" spans="2:2" x14ac:dyDescent="0.25">
      <c r="B510" s="7"/>
    </row>
    <row r="511" spans="2:2" x14ac:dyDescent="0.25">
      <c r="B511" s="7"/>
    </row>
    <row r="512" spans="2:2" x14ac:dyDescent="0.25">
      <c r="B512" s="7"/>
    </row>
    <row r="513" spans="2:2" x14ac:dyDescent="0.25">
      <c r="B513" s="7"/>
    </row>
    <row r="514" spans="2:2" x14ac:dyDescent="0.25">
      <c r="B514" s="7"/>
    </row>
    <row r="515" spans="2:2" x14ac:dyDescent="0.25">
      <c r="B515" s="7"/>
    </row>
    <row r="516" spans="2:2" x14ac:dyDescent="0.25">
      <c r="B516" s="7"/>
    </row>
    <row r="517" spans="2:2" x14ac:dyDescent="0.25">
      <c r="B517" s="7"/>
    </row>
    <row r="518" spans="2:2" x14ac:dyDescent="0.25">
      <c r="B518" s="7"/>
    </row>
    <row r="519" spans="2:2" x14ac:dyDescent="0.25">
      <c r="B519" s="7"/>
    </row>
    <row r="520" spans="2:2" x14ac:dyDescent="0.25">
      <c r="B520" s="7"/>
    </row>
    <row r="521" spans="2:2" x14ac:dyDescent="0.25">
      <c r="B521" s="7"/>
    </row>
    <row r="522" spans="2:2" x14ac:dyDescent="0.25">
      <c r="B522" s="7"/>
    </row>
    <row r="523" spans="2:2" x14ac:dyDescent="0.25">
      <c r="B523" s="7"/>
    </row>
    <row r="524" spans="2:2" x14ac:dyDescent="0.25">
      <c r="B524" s="7"/>
    </row>
    <row r="525" spans="2:2" x14ac:dyDescent="0.25">
      <c r="B525" s="7"/>
    </row>
    <row r="526" spans="2:2" x14ac:dyDescent="0.25">
      <c r="B526" s="7"/>
    </row>
    <row r="527" spans="2:2" x14ac:dyDescent="0.25">
      <c r="B527" s="7"/>
    </row>
    <row r="528" spans="2:2" x14ac:dyDescent="0.25">
      <c r="B528" s="7"/>
    </row>
    <row r="529" spans="2:2" x14ac:dyDescent="0.25">
      <c r="B529" s="7"/>
    </row>
    <row r="530" spans="2:2" x14ac:dyDescent="0.25">
      <c r="B530" s="7"/>
    </row>
    <row r="531" spans="2:2" x14ac:dyDescent="0.25">
      <c r="B531" s="7"/>
    </row>
    <row r="532" spans="2:2" x14ac:dyDescent="0.25">
      <c r="B532" s="7"/>
    </row>
    <row r="533" spans="2:2" x14ac:dyDescent="0.25">
      <c r="B533" s="7"/>
    </row>
    <row r="534" spans="2:2" x14ac:dyDescent="0.25">
      <c r="B534" s="7"/>
    </row>
    <row r="535" spans="2:2" x14ac:dyDescent="0.25">
      <c r="B535" s="7"/>
    </row>
    <row r="536" spans="2:2" x14ac:dyDescent="0.25">
      <c r="B536" s="7"/>
    </row>
    <row r="537" spans="2:2" x14ac:dyDescent="0.25">
      <c r="B537" s="7"/>
    </row>
    <row r="538" spans="2:2" x14ac:dyDescent="0.25">
      <c r="B538" s="7"/>
    </row>
    <row r="539" spans="2:2" x14ac:dyDescent="0.25">
      <c r="B539" s="7"/>
    </row>
    <row r="540" spans="2:2" x14ac:dyDescent="0.25">
      <c r="B540" s="7"/>
    </row>
    <row r="541" spans="2:2" x14ac:dyDescent="0.25">
      <c r="B541" s="7"/>
    </row>
    <row r="542" spans="2:2" x14ac:dyDescent="0.25">
      <c r="B542" s="7"/>
    </row>
    <row r="543" spans="2:2" x14ac:dyDescent="0.25">
      <c r="B543" s="7"/>
    </row>
    <row r="544" spans="2:2" x14ac:dyDescent="0.25">
      <c r="B544" s="7"/>
    </row>
    <row r="545" spans="2:2" x14ac:dyDescent="0.25">
      <c r="B545" s="7"/>
    </row>
    <row r="546" spans="2:2" x14ac:dyDescent="0.25">
      <c r="B546" s="7"/>
    </row>
    <row r="547" spans="2:2" x14ac:dyDescent="0.25">
      <c r="B547" s="7"/>
    </row>
    <row r="548" spans="2:2" x14ac:dyDescent="0.25">
      <c r="B548" s="7"/>
    </row>
    <row r="549" spans="2:2" x14ac:dyDescent="0.25">
      <c r="B549" s="7"/>
    </row>
    <row r="550" spans="2:2" x14ac:dyDescent="0.25">
      <c r="B550" s="7"/>
    </row>
    <row r="551" spans="2:2" x14ac:dyDescent="0.25">
      <c r="B551" s="7"/>
    </row>
    <row r="552" spans="2:2" x14ac:dyDescent="0.25">
      <c r="B552" s="7"/>
    </row>
    <row r="553" spans="2:2" x14ac:dyDescent="0.25">
      <c r="B553" s="7"/>
    </row>
    <row r="554" spans="2:2" x14ac:dyDescent="0.25">
      <c r="B554" s="7"/>
    </row>
    <row r="555" spans="2:2" x14ac:dyDescent="0.25">
      <c r="B555" s="7"/>
    </row>
    <row r="556" spans="2:2" x14ac:dyDescent="0.25">
      <c r="B556" s="7"/>
    </row>
    <row r="557" spans="2:2" x14ac:dyDescent="0.25">
      <c r="B557" s="7"/>
    </row>
    <row r="558" spans="2:2" x14ac:dyDescent="0.25">
      <c r="B558" s="7"/>
    </row>
    <row r="559" spans="2:2" x14ac:dyDescent="0.25">
      <c r="B559" s="7"/>
    </row>
    <row r="560" spans="2:2" x14ac:dyDescent="0.25">
      <c r="B560" s="7"/>
    </row>
    <row r="561" spans="2:2" x14ac:dyDescent="0.25">
      <c r="B561" s="7"/>
    </row>
    <row r="562" spans="2:2" x14ac:dyDescent="0.25">
      <c r="B562" s="7"/>
    </row>
    <row r="563" spans="2:2" x14ac:dyDescent="0.25">
      <c r="B563" s="7"/>
    </row>
    <row r="564" spans="2:2" x14ac:dyDescent="0.25">
      <c r="B564" s="7"/>
    </row>
    <row r="565" spans="2:2" x14ac:dyDescent="0.25">
      <c r="B565" s="7"/>
    </row>
    <row r="566" spans="2:2" x14ac:dyDescent="0.25">
      <c r="B566" s="7"/>
    </row>
    <row r="567" spans="2:2" x14ac:dyDescent="0.25">
      <c r="B567" s="7"/>
    </row>
    <row r="568" spans="2:2" x14ac:dyDescent="0.25">
      <c r="B568" s="7"/>
    </row>
    <row r="569" spans="2:2" x14ac:dyDescent="0.25">
      <c r="B569" s="7"/>
    </row>
    <row r="570" spans="2:2" x14ac:dyDescent="0.25">
      <c r="B570" s="7"/>
    </row>
    <row r="571" spans="2:2" x14ac:dyDescent="0.25">
      <c r="B571" s="7"/>
    </row>
    <row r="572" spans="2:2" x14ac:dyDescent="0.25">
      <c r="B572" s="7"/>
    </row>
    <row r="573" spans="2:2" x14ac:dyDescent="0.25">
      <c r="B573" s="7"/>
    </row>
    <row r="574" spans="2:2" x14ac:dyDescent="0.25">
      <c r="B574" s="7"/>
    </row>
    <row r="575" spans="2:2" x14ac:dyDescent="0.25">
      <c r="B575" s="7"/>
    </row>
    <row r="576" spans="2:2" x14ac:dyDescent="0.25">
      <c r="B576" s="7"/>
    </row>
    <row r="577" spans="2:2" x14ac:dyDescent="0.25">
      <c r="B577" s="7"/>
    </row>
    <row r="578" spans="2:2" x14ac:dyDescent="0.25">
      <c r="B578" s="7"/>
    </row>
    <row r="579" spans="2:2" x14ac:dyDescent="0.25">
      <c r="B579" s="7"/>
    </row>
    <row r="580" spans="2:2" x14ac:dyDescent="0.25">
      <c r="B580" s="7"/>
    </row>
    <row r="581" spans="2:2" x14ac:dyDescent="0.25">
      <c r="B581" s="7"/>
    </row>
    <row r="582" spans="2:2" x14ac:dyDescent="0.25">
      <c r="B582" s="7"/>
    </row>
    <row r="583" spans="2:2" x14ac:dyDescent="0.25">
      <c r="B583" s="7"/>
    </row>
    <row r="584" spans="2:2" x14ac:dyDescent="0.25">
      <c r="B584" s="7"/>
    </row>
    <row r="585" spans="2:2" x14ac:dyDescent="0.25">
      <c r="B585" s="7"/>
    </row>
    <row r="586" spans="2:2" x14ac:dyDescent="0.25">
      <c r="B586" s="7"/>
    </row>
    <row r="587" spans="2:2" x14ac:dyDescent="0.25">
      <c r="B587" s="7"/>
    </row>
    <row r="588" spans="2:2" x14ac:dyDescent="0.25">
      <c r="B588" s="7"/>
    </row>
    <row r="589" spans="2:2" x14ac:dyDescent="0.25">
      <c r="B589" s="7"/>
    </row>
    <row r="590" spans="2:2" x14ac:dyDescent="0.25">
      <c r="B590" s="7"/>
    </row>
    <row r="591" spans="2:2" x14ac:dyDescent="0.25">
      <c r="B591" s="7"/>
    </row>
    <row r="592" spans="2:2" x14ac:dyDescent="0.25">
      <c r="B592" s="7"/>
    </row>
    <row r="593" spans="2:2" x14ac:dyDescent="0.25">
      <c r="B593" s="7"/>
    </row>
    <row r="594" spans="2:2" x14ac:dyDescent="0.25">
      <c r="B594" s="7"/>
    </row>
    <row r="595" spans="2:2" x14ac:dyDescent="0.25">
      <c r="B595" s="7"/>
    </row>
    <row r="596" spans="2:2" x14ac:dyDescent="0.25">
      <c r="B596" s="7"/>
    </row>
    <row r="597" spans="2:2" x14ac:dyDescent="0.25">
      <c r="B597" s="7"/>
    </row>
    <row r="598" spans="2:2" x14ac:dyDescent="0.25">
      <c r="B598" s="7"/>
    </row>
    <row r="599" spans="2:2" x14ac:dyDescent="0.25">
      <c r="B599" s="7"/>
    </row>
    <row r="600" spans="2:2" x14ac:dyDescent="0.25">
      <c r="B600" s="7"/>
    </row>
    <row r="601" spans="2:2" x14ac:dyDescent="0.25">
      <c r="B601" s="7"/>
    </row>
    <row r="602" spans="2:2" x14ac:dyDescent="0.25">
      <c r="B602" s="7"/>
    </row>
    <row r="603" spans="2:2" x14ac:dyDescent="0.25">
      <c r="B603" s="7"/>
    </row>
    <row r="604" spans="2:2" x14ac:dyDescent="0.25">
      <c r="B604" s="7"/>
    </row>
    <row r="605" spans="2:2" x14ac:dyDescent="0.25">
      <c r="B605" s="7"/>
    </row>
    <row r="606" spans="2:2" x14ac:dyDescent="0.25">
      <c r="B606" s="7"/>
    </row>
    <row r="607" spans="2:2" x14ac:dyDescent="0.25">
      <c r="B607" s="7"/>
    </row>
    <row r="608" spans="2:2" x14ac:dyDescent="0.25">
      <c r="B608" s="7"/>
    </row>
    <row r="609" spans="2:2" x14ac:dyDescent="0.25">
      <c r="B609" s="7"/>
    </row>
    <row r="610" spans="2:2" x14ac:dyDescent="0.25">
      <c r="B610" s="7"/>
    </row>
    <row r="611" spans="2:2" x14ac:dyDescent="0.25">
      <c r="B611" s="7"/>
    </row>
    <row r="612" spans="2:2" x14ac:dyDescent="0.25">
      <c r="B612" s="7"/>
    </row>
    <row r="613" spans="2:2" x14ac:dyDescent="0.25">
      <c r="B613" s="7"/>
    </row>
    <row r="614" spans="2:2" x14ac:dyDescent="0.25">
      <c r="B614" s="7"/>
    </row>
    <row r="615" spans="2:2" x14ac:dyDescent="0.25">
      <c r="B615" s="7"/>
    </row>
    <row r="616" spans="2:2" x14ac:dyDescent="0.25">
      <c r="B616" s="7"/>
    </row>
    <row r="617" spans="2:2" x14ac:dyDescent="0.25">
      <c r="B617" s="7"/>
    </row>
    <row r="618" spans="2:2" x14ac:dyDescent="0.25">
      <c r="B618" s="7"/>
    </row>
    <row r="619" spans="2:2" x14ac:dyDescent="0.25">
      <c r="B619" s="7"/>
    </row>
    <row r="620" spans="2:2" x14ac:dyDescent="0.25">
      <c r="B620" s="7"/>
    </row>
    <row r="621" spans="2:2" x14ac:dyDescent="0.25">
      <c r="B621" s="7"/>
    </row>
    <row r="622" spans="2:2" x14ac:dyDescent="0.25">
      <c r="B622" s="7"/>
    </row>
    <row r="623" spans="2:2" x14ac:dyDescent="0.25">
      <c r="B623" s="7"/>
    </row>
    <row r="624" spans="2:2" x14ac:dyDescent="0.25">
      <c r="B624" s="7"/>
    </row>
    <row r="625" spans="2:2" x14ac:dyDescent="0.25">
      <c r="B625" s="7"/>
    </row>
    <row r="626" spans="2:2" x14ac:dyDescent="0.25">
      <c r="B626" s="7"/>
    </row>
    <row r="627" spans="2:2" x14ac:dyDescent="0.25">
      <c r="B627" s="7"/>
    </row>
    <row r="628" spans="2:2" x14ac:dyDescent="0.25">
      <c r="B628" s="7"/>
    </row>
    <row r="629" spans="2:2" x14ac:dyDescent="0.25">
      <c r="B629" s="7"/>
    </row>
    <row r="630" spans="2:2" x14ac:dyDescent="0.25">
      <c r="B630" s="7"/>
    </row>
    <row r="631" spans="2:2" x14ac:dyDescent="0.25">
      <c r="B631" s="7"/>
    </row>
    <row r="632" spans="2:2" x14ac:dyDescent="0.25">
      <c r="B632" s="7"/>
    </row>
    <row r="633" spans="2:2" x14ac:dyDescent="0.25">
      <c r="B633" s="7"/>
    </row>
    <row r="634" spans="2:2" x14ac:dyDescent="0.25">
      <c r="B634" s="7"/>
    </row>
    <row r="635" spans="2:2" x14ac:dyDescent="0.25">
      <c r="B635" s="7"/>
    </row>
    <row r="636" spans="2:2" x14ac:dyDescent="0.25">
      <c r="B636" s="7"/>
    </row>
    <row r="637" spans="2:2" x14ac:dyDescent="0.25">
      <c r="B637" s="7"/>
    </row>
    <row r="638" spans="2:2" x14ac:dyDescent="0.25">
      <c r="B638" s="7"/>
    </row>
    <row r="639" spans="2:2" x14ac:dyDescent="0.25">
      <c r="B639" s="7"/>
    </row>
    <row r="640" spans="2:2" x14ac:dyDescent="0.25">
      <c r="B640" s="7"/>
    </row>
    <row r="641" spans="2:2" x14ac:dyDescent="0.25">
      <c r="B641" s="7"/>
    </row>
    <row r="642" spans="2:2" x14ac:dyDescent="0.25">
      <c r="B642" s="7"/>
    </row>
    <row r="643" spans="2:2" x14ac:dyDescent="0.25">
      <c r="B643" s="7"/>
    </row>
    <row r="644" spans="2:2" x14ac:dyDescent="0.25">
      <c r="B644" s="7"/>
    </row>
    <row r="645" spans="2:2" x14ac:dyDescent="0.25">
      <c r="B645" s="7"/>
    </row>
    <row r="646" spans="2:2" x14ac:dyDescent="0.25">
      <c r="B646" s="7"/>
    </row>
    <row r="647" spans="2:2" x14ac:dyDescent="0.25">
      <c r="B647" s="7"/>
    </row>
    <row r="648" spans="2:2" x14ac:dyDescent="0.25">
      <c r="B648" s="7"/>
    </row>
    <row r="649" spans="2:2" x14ac:dyDescent="0.25">
      <c r="B649" s="7"/>
    </row>
    <row r="650" spans="2:2" x14ac:dyDescent="0.25">
      <c r="B650" s="7"/>
    </row>
    <row r="651" spans="2:2" x14ac:dyDescent="0.25">
      <c r="B651" s="7"/>
    </row>
    <row r="652" spans="2:2" x14ac:dyDescent="0.25">
      <c r="B652" s="7"/>
    </row>
    <row r="653" spans="2:2" x14ac:dyDescent="0.25">
      <c r="B653" s="7"/>
    </row>
    <row r="654" spans="2:2" x14ac:dyDescent="0.25">
      <c r="B654" s="7"/>
    </row>
    <row r="655" spans="2:2" x14ac:dyDescent="0.25">
      <c r="B655" s="7"/>
    </row>
    <row r="656" spans="2:2" x14ac:dyDescent="0.25">
      <c r="B656" s="7"/>
    </row>
    <row r="657" spans="2:2" x14ac:dyDescent="0.25">
      <c r="B657" s="7"/>
    </row>
    <row r="658" spans="2:2" x14ac:dyDescent="0.25">
      <c r="B658" s="7"/>
    </row>
    <row r="659" spans="2:2" x14ac:dyDescent="0.25">
      <c r="B659" s="7"/>
    </row>
    <row r="660" spans="2:2" x14ac:dyDescent="0.25">
      <c r="B660" s="7"/>
    </row>
    <row r="661" spans="2:2" x14ac:dyDescent="0.25">
      <c r="B661" s="7"/>
    </row>
    <row r="662" spans="2:2" x14ac:dyDescent="0.25">
      <c r="B662" s="7"/>
    </row>
    <row r="663" spans="2:2" x14ac:dyDescent="0.25">
      <c r="B663" s="7"/>
    </row>
    <row r="664" spans="2:2" x14ac:dyDescent="0.25">
      <c r="B664" s="7"/>
    </row>
    <row r="665" spans="2:2" x14ac:dyDescent="0.25">
      <c r="B665" s="7"/>
    </row>
    <row r="666" spans="2:2" x14ac:dyDescent="0.25">
      <c r="B666" s="7"/>
    </row>
    <row r="667" spans="2:2" x14ac:dyDescent="0.25">
      <c r="B667" s="7"/>
    </row>
    <row r="668" spans="2:2" x14ac:dyDescent="0.25">
      <c r="B668" s="7"/>
    </row>
    <row r="669" spans="2:2" x14ac:dyDescent="0.25">
      <c r="B669" s="7"/>
    </row>
    <row r="670" spans="2:2" x14ac:dyDescent="0.25">
      <c r="B670" s="7"/>
    </row>
    <row r="671" spans="2:2" x14ac:dyDescent="0.25">
      <c r="B671" s="7"/>
    </row>
    <row r="672" spans="2:2" x14ac:dyDescent="0.25">
      <c r="B672" s="7"/>
    </row>
    <row r="673" spans="2:2" x14ac:dyDescent="0.25">
      <c r="B673" s="7"/>
    </row>
    <row r="674" spans="2:2" x14ac:dyDescent="0.25">
      <c r="B674" s="7"/>
    </row>
    <row r="675" spans="2:2" x14ac:dyDescent="0.25">
      <c r="B675" s="7"/>
    </row>
    <row r="676" spans="2:2" x14ac:dyDescent="0.25">
      <c r="B676" s="7"/>
    </row>
    <row r="677" spans="2:2" x14ac:dyDescent="0.25">
      <c r="B677" s="7"/>
    </row>
    <row r="678" spans="2:2" x14ac:dyDescent="0.25">
      <c r="B678" s="7"/>
    </row>
    <row r="679" spans="2:2" x14ac:dyDescent="0.25">
      <c r="B679" s="7"/>
    </row>
    <row r="680" spans="2:2" x14ac:dyDescent="0.25">
      <c r="B680" s="7"/>
    </row>
    <row r="681" spans="2:2" x14ac:dyDescent="0.25">
      <c r="B681" s="7"/>
    </row>
    <row r="682" spans="2:2" x14ac:dyDescent="0.25">
      <c r="B682" s="7"/>
    </row>
    <row r="683" spans="2:2" x14ac:dyDescent="0.25">
      <c r="B683" s="7"/>
    </row>
    <row r="684" spans="2:2" x14ac:dyDescent="0.25">
      <c r="B684" s="7"/>
    </row>
    <row r="685" spans="2:2" x14ac:dyDescent="0.25">
      <c r="B685" s="7"/>
    </row>
    <row r="686" spans="2:2" x14ac:dyDescent="0.25">
      <c r="B686" s="7"/>
    </row>
    <row r="687" spans="2:2" x14ac:dyDescent="0.25">
      <c r="B687" s="7"/>
    </row>
    <row r="688" spans="2:2" x14ac:dyDescent="0.25">
      <c r="B688" s="7"/>
    </row>
    <row r="689" spans="2:2" x14ac:dyDescent="0.25">
      <c r="B689" s="7"/>
    </row>
    <row r="690" spans="2:2" x14ac:dyDescent="0.25">
      <c r="B690" s="7"/>
    </row>
    <row r="691" spans="2:2" x14ac:dyDescent="0.25">
      <c r="B691" s="7"/>
    </row>
    <row r="692" spans="2:2" x14ac:dyDescent="0.25">
      <c r="B692" s="7"/>
    </row>
    <row r="693" spans="2:2" x14ac:dyDescent="0.25">
      <c r="B693" s="7"/>
    </row>
    <row r="694" spans="2:2" x14ac:dyDescent="0.25">
      <c r="B694" s="7"/>
    </row>
    <row r="695" spans="2:2" x14ac:dyDescent="0.25">
      <c r="B695" s="7"/>
    </row>
    <row r="696" spans="2:2" x14ac:dyDescent="0.25">
      <c r="B696" s="7"/>
    </row>
    <row r="697" spans="2:2" x14ac:dyDescent="0.25">
      <c r="B697" s="7"/>
    </row>
    <row r="698" spans="2:2" x14ac:dyDescent="0.25">
      <c r="B698" s="7"/>
    </row>
    <row r="699" spans="2:2" x14ac:dyDescent="0.25">
      <c r="B699" s="7"/>
    </row>
    <row r="700" spans="2:2" x14ac:dyDescent="0.25">
      <c r="B700" s="7"/>
    </row>
    <row r="701" spans="2:2" x14ac:dyDescent="0.25">
      <c r="B701" s="7"/>
    </row>
    <row r="702" spans="2:2" x14ac:dyDescent="0.25">
      <c r="B702" s="7"/>
    </row>
    <row r="703" spans="2:2" x14ac:dyDescent="0.25">
      <c r="B703" s="7"/>
    </row>
    <row r="704" spans="2:2" x14ac:dyDescent="0.25">
      <c r="B704" s="7"/>
    </row>
    <row r="705" spans="2:2" x14ac:dyDescent="0.25">
      <c r="B705" s="7"/>
    </row>
    <row r="706" spans="2:2" x14ac:dyDescent="0.25">
      <c r="B706" s="7"/>
    </row>
    <row r="707" spans="2:2" x14ac:dyDescent="0.25">
      <c r="B707" s="7"/>
    </row>
    <row r="708" spans="2:2" x14ac:dyDescent="0.25">
      <c r="B708" s="7"/>
    </row>
    <row r="709" spans="2:2" x14ac:dyDescent="0.25">
      <c r="B709" s="7"/>
    </row>
    <row r="710" spans="2:2" x14ac:dyDescent="0.25">
      <c r="B710" s="7"/>
    </row>
    <row r="711" spans="2:2" x14ac:dyDescent="0.25">
      <c r="B711" s="7"/>
    </row>
    <row r="712" spans="2:2" x14ac:dyDescent="0.25">
      <c r="B712" s="7"/>
    </row>
    <row r="713" spans="2:2" x14ac:dyDescent="0.25">
      <c r="B713" s="7"/>
    </row>
    <row r="714" spans="2:2" x14ac:dyDescent="0.25">
      <c r="B714" s="7"/>
    </row>
    <row r="715" spans="2:2" x14ac:dyDescent="0.25">
      <c r="B715" s="7"/>
    </row>
    <row r="716" spans="2:2" x14ac:dyDescent="0.25">
      <c r="B716" s="7"/>
    </row>
    <row r="717" spans="2:2" x14ac:dyDescent="0.25">
      <c r="B717" s="7"/>
    </row>
    <row r="718" spans="2:2" x14ac:dyDescent="0.25">
      <c r="B718" s="7"/>
    </row>
    <row r="719" spans="2:2" x14ac:dyDescent="0.25">
      <c r="B719" s="7"/>
    </row>
    <row r="720" spans="2:2" x14ac:dyDescent="0.25">
      <c r="B720" s="7"/>
    </row>
    <row r="721" spans="2:2" x14ac:dyDescent="0.25">
      <c r="B721" s="7"/>
    </row>
    <row r="722" spans="2:2" x14ac:dyDescent="0.25">
      <c r="B722" s="7"/>
    </row>
    <row r="723" spans="2:2" x14ac:dyDescent="0.25">
      <c r="B723" s="7"/>
    </row>
    <row r="724" spans="2:2" x14ac:dyDescent="0.25">
      <c r="B724" s="7"/>
    </row>
    <row r="725" spans="2:2" x14ac:dyDescent="0.25">
      <c r="B725" s="7"/>
    </row>
    <row r="726" spans="2:2" x14ac:dyDescent="0.25">
      <c r="B726" s="7"/>
    </row>
    <row r="727" spans="2:2" x14ac:dyDescent="0.25">
      <c r="B727" s="7"/>
    </row>
    <row r="728" spans="2:2" x14ac:dyDescent="0.25">
      <c r="B728" s="7"/>
    </row>
    <row r="729" spans="2:2" x14ac:dyDescent="0.25">
      <c r="B729" s="7"/>
    </row>
    <row r="730" spans="2:2" x14ac:dyDescent="0.25">
      <c r="B730" s="7"/>
    </row>
    <row r="731" spans="2:2" x14ac:dyDescent="0.25">
      <c r="B731" s="7"/>
    </row>
    <row r="732" spans="2:2" x14ac:dyDescent="0.25">
      <c r="B732" s="7"/>
    </row>
    <row r="733" spans="2:2" x14ac:dyDescent="0.25">
      <c r="B733" s="7"/>
    </row>
    <row r="734" spans="2:2" x14ac:dyDescent="0.25">
      <c r="B734" s="7"/>
    </row>
    <row r="735" spans="2:2" x14ac:dyDescent="0.25">
      <c r="B735" s="7"/>
    </row>
    <row r="736" spans="2:2" x14ac:dyDescent="0.25">
      <c r="B736" s="7"/>
    </row>
    <row r="737" spans="2:2" x14ac:dyDescent="0.25">
      <c r="B737" s="7"/>
    </row>
    <row r="738" spans="2:2" x14ac:dyDescent="0.25">
      <c r="B738" s="7"/>
    </row>
    <row r="739" spans="2:2" x14ac:dyDescent="0.25">
      <c r="B739" s="7"/>
    </row>
    <row r="740" spans="2:2" x14ac:dyDescent="0.25">
      <c r="B740" s="7"/>
    </row>
    <row r="741" spans="2:2" x14ac:dyDescent="0.25">
      <c r="B741" s="7"/>
    </row>
    <row r="742" spans="2:2" x14ac:dyDescent="0.25">
      <c r="B742" s="7"/>
    </row>
    <row r="743" spans="2:2" x14ac:dyDescent="0.25">
      <c r="B743" s="7"/>
    </row>
    <row r="744" spans="2:2" x14ac:dyDescent="0.25">
      <c r="B744" s="7"/>
    </row>
    <row r="745" spans="2:2" x14ac:dyDescent="0.25">
      <c r="B745" s="7"/>
    </row>
    <row r="746" spans="2:2" x14ac:dyDescent="0.25">
      <c r="B746" s="7"/>
    </row>
    <row r="747" spans="2:2" x14ac:dyDescent="0.25">
      <c r="B747" s="7"/>
    </row>
    <row r="748" spans="2:2" x14ac:dyDescent="0.25">
      <c r="B748" s="7"/>
    </row>
    <row r="749" spans="2:2" x14ac:dyDescent="0.25">
      <c r="B749" s="7"/>
    </row>
    <row r="750" spans="2:2" x14ac:dyDescent="0.25">
      <c r="B750" s="7"/>
    </row>
    <row r="751" spans="2:2" x14ac:dyDescent="0.25">
      <c r="B751" s="7"/>
    </row>
    <row r="752" spans="2:2" x14ac:dyDescent="0.25">
      <c r="B752" s="7"/>
    </row>
    <row r="753" spans="2:2" x14ac:dyDescent="0.25">
      <c r="B753" s="7"/>
    </row>
    <row r="754" spans="2:2" x14ac:dyDescent="0.25">
      <c r="B754" s="7"/>
    </row>
    <row r="755" spans="2:2" x14ac:dyDescent="0.25">
      <c r="B755" s="7"/>
    </row>
    <row r="756" spans="2:2" x14ac:dyDescent="0.25">
      <c r="B756" s="7"/>
    </row>
    <row r="757" spans="2:2" x14ac:dyDescent="0.25">
      <c r="B757" s="7"/>
    </row>
    <row r="758" spans="2:2" x14ac:dyDescent="0.25">
      <c r="B758" s="7"/>
    </row>
    <row r="759" spans="2:2" x14ac:dyDescent="0.25">
      <c r="B759" s="7"/>
    </row>
    <row r="760" spans="2:2" x14ac:dyDescent="0.25">
      <c r="B760" s="7"/>
    </row>
    <row r="761" spans="2:2" x14ac:dyDescent="0.25">
      <c r="B761" s="7"/>
    </row>
    <row r="762" spans="2:2" x14ac:dyDescent="0.25">
      <c r="B762" s="7"/>
    </row>
    <row r="763" spans="2:2" x14ac:dyDescent="0.25">
      <c r="B763" s="7"/>
    </row>
    <row r="764" spans="2:2" x14ac:dyDescent="0.25">
      <c r="B764" s="7"/>
    </row>
    <row r="765" spans="2:2" x14ac:dyDescent="0.25">
      <c r="B765" s="7"/>
    </row>
    <row r="766" spans="2:2" x14ac:dyDescent="0.25">
      <c r="B766" s="7"/>
    </row>
    <row r="767" spans="2:2" x14ac:dyDescent="0.25">
      <c r="B767" s="7"/>
    </row>
    <row r="768" spans="2:2" x14ac:dyDescent="0.25">
      <c r="B768" s="7"/>
    </row>
    <row r="769" spans="2:2" x14ac:dyDescent="0.25">
      <c r="B769" s="7"/>
    </row>
    <row r="770" spans="2:2" x14ac:dyDescent="0.25">
      <c r="B770" s="7"/>
    </row>
    <row r="771" spans="2:2" x14ac:dyDescent="0.25">
      <c r="B771" s="7"/>
    </row>
    <row r="772" spans="2:2" x14ac:dyDescent="0.25">
      <c r="B772" s="7"/>
    </row>
    <row r="773" spans="2:2" x14ac:dyDescent="0.25">
      <c r="B773" s="7"/>
    </row>
    <row r="774" spans="2:2" x14ac:dyDescent="0.25">
      <c r="B774" s="7"/>
    </row>
    <row r="775" spans="2:2" x14ac:dyDescent="0.25">
      <c r="B775" s="7"/>
    </row>
    <row r="776" spans="2:2" x14ac:dyDescent="0.25">
      <c r="B776" s="7"/>
    </row>
    <row r="777" spans="2:2" x14ac:dyDescent="0.25">
      <c r="B777" s="7"/>
    </row>
    <row r="778" spans="2:2" x14ac:dyDescent="0.25">
      <c r="B778" s="7"/>
    </row>
    <row r="779" spans="2:2" x14ac:dyDescent="0.25">
      <c r="B779" s="7"/>
    </row>
    <row r="780" spans="2:2" x14ac:dyDescent="0.25">
      <c r="B780" s="7"/>
    </row>
    <row r="781" spans="2:2" x14ac:dyDescent="0.25">
      <c r="B781" s="7"/>
    </row>
    <row r="782" spans="2:2" x14ac:dyDescent="0.25">
      <c r="B782" s="7"/>
    </row>
    <row r="783" spans="2:2" x14ac:dyDescent="0.25">
      <c r="B783" s="7"/>
    </row>
    <row r="784" spans="2:2" x14ac:dyDescent="0.25">
      <c r="B784" s="7"/>
    </row>
    <row r="785" spans="2:2" x14ac:dyDescent="0.25">
      <c r="B785" s="7"/>
    </row>
    <row r="786" spans="2:2" x14ac:dyDescent="0.25">
      <c r="B786" s="7"/>
    </row>
    <row r="787" spans="2:2" x14ac:dyDescent="0.25">
      <c r="B787" s="7"/>
    </row>
    <row r="788" spans="2:2" x14ac:dyDescent="0.25">
      <c r="B788" s="7"/>
    </row>
    <row r="789" spans="2:2" x14ac:dyDescent="0.25">
      <c r="B789" s="7"/>
    </row>
    <row r="790" spans="2:2" x14ac:dyDescent="0.25">
      <c r="B790" s="7"/>
    </row>
    <row r="791" spans="2:2" x14ac:dyDescent="0.25">
      <c r="B791" s="7"/>
    </row>
    <row r="792" spans="2:2" x14ac:dyDescent="0.25">
      <c r="B792" s="7"/>
    </row>
    <row r="793" spans="2:2" x14ac:dyDescent="0.25">
      <c r="B793" s="7"/>
    </row>
    <row r="794" spans="2:2" x14ac:dyDescent="0.25">
      <c r="B794" s="7"/>
    </row>
    <row r="795" spans="2:2" x14ac:dyDescent="0.25">
      <c r="B795" s="7"/>
    </row>
    <row r="796" spans="2:2" x14ac:dyDescent="0.25">
      <c r="B796" s="7"/>
    </row>
    <row r="797" spans="2:2" x14ac:dyDescent="0.25">
      <c r="B797" s="7"/>
    </row>
    <row r="798" spans="2:2" x14ac:dyDescent="0.25">
      <c r="B798" s="7"/>
    </row>
    <row r="799" spans="2:2" x14ac:dyDescent="0.25">
      <c r="B799" s="7"/>
    </row>
    <row r="800" spans="2:2" x14ac:dyDescent="0.25">
      <c r="B800" s="7"/>
    </row>
    <row r="801" spans="2:2" x14ac:dyDescent="0.25">
      <c r="B801" s="7"/>
    </row>
    <row r="802" spans="2:2" x14ac:dyDescent="0.25">
      <c r="B802" s="7"/>
    </row>
    <row r="803" spans="2:2" x14ac:dyDescent="0.25">
      <c r="B803" s="7"/>
    </row>
    <row r="804" spans="2:2" x14ac:dyDescent="0.25">
      <c r="B804" s="7"/>
    </row>
    <row r="805" spans="2:2" x14ac:dyDescent="0.25">
      <c r="B805" s="7"/>
    </row>
    <row r="806" spans="2:2" x14ac:dyDescent="0.25">
      <c r="B806" s="7"/>
    </row>
    <row r="807" spans="2:2" x14ac:dyDescent="0.25">
      <c r="B807" s="7"/>
    </row>
    <row r="808" spans="2:2" x14ac:dyDescent="0.25">
      <c r="B808" s="7"/>
    </row>
    <row r="809" spans="2:2" x14ac:dyDescent="0.25">
      <c r="B809" s="7"/>
    </row>
    <row r="810" spans="2:2" x14ac:dyDescent="0.25">
      <c r="B810" s="7"/>
    </row>
    <row r="811" spans="2:2" x14ac:dyDescent="0.25">
      <c r="B811" s="7"/>
    </row>
    <row r="812" spans="2:2" x14ac:dyDescent="0.25">
      <c r="B812" s="7"/>
    </row>
    <row r="813" spans="2:2" x14ac:dyDescent="0.25">
      <c r="B813" s="7"/>
    </row>
    <row r="814" spans="2:2" x14ac:dyDescent="0.25">
      <c r="B814" s="7"/>
    </row>
    <row r="815" spans="2:2" x14ac:dyDescent="0.25">
      <c r="B815" s="7"/>
    </row>
    <row r="816" spans="2:2" x14ac:dyDescent="0.25">
      <c r="B816" s="7"/>
    </row>
    <row r="817" spans="2:2" x14ac:dyDescent="0.25">
      <c r="B817" s="7"/>
    </row>
    <row r="818" spans="2:2" x14ac:dyDescent="0.25">
      <c r="B818" s="7"/>
    </row>
    <row r="819" spans="2:2" x14ac:dyDescent="0.25">
      <c r="B819" s="7"/>
    </row>
    <row r="820" spans="2:2" x14ac:dyDescent="0.25">
      <c r="B820" s="7"/>
    </row>
    <row r="821" spans="2:2" x14ac:dyDescent="0.25">
      <c r="B821" s="7"/>
    </row>
    <row r="822" spans="2:2" x14ac:dyDescent="0.25">
      <c r="B822" s="7"/>
    </row>
    <row r="823" spans="2:2" x14ac:dyDescent="0.25">
      <c r="B823" s="7"/>
    </row>
    <row r="824" spans="2:2" x14ac:dyDescent="0.25">
      <c r="B824" s="7"/>
    </row>
    <row r="825" spans="2:2" x14ac:dyDescent="0.25">
      <c r="B825" s="7"/>
    </row>
    <row r="826" spans="2:2" x14ac:dyDescent="0.25">
      <c r="B826" s="7"/>
    </row>
    <row r="827" spans="2:2" x14ac:dyDescent="0.25">
      <c r="B827" s="7"/>
    </row>
    <row r="828" spans="2:2" x14ac:dyDescent="0.25">
      <c r="B828" s="7"/>
    </row>
    <row r="829" spans="2:2" x14ac:dyDescent="0.25">
      <c r="B829" s="7"/>
    </row>
    <row r="830" spans="2:2" x14ac:dyDescent="0.25">
      <c r="B830" s="7"/>
    </row>
    <row r="831" spans="2:2" x14ac:dyDescent="0.25">
      <c r="B831" s="7"/>
    </row>
    <row r="832" spans="2:2" x14ac:dyDescent="0.25">
      <c r="B832" s="7"/>
    </row>
    <row r="833" spans="2:2" x14ac:dyDescent="0.25">
      <c r="B833" s="7"/>
    </row>
    <row r="834" spans="2:2" x14ac:dyDescent="0.25">
      <c r="B834" s="7"/>
    </row>
    <row r="835" spans="2:2" x14ac:dyDescent="0.25">
      <c r="B835" s="7"/>
    </row>
    <row r="836" spans="2:2" x14ac:dyDescent="0.25">
      <c r="B836" s="7"/>
    </row>
    <row r="837" spans="2:2" x14ac:dyDescent="0.25">
      <c r="B837" s="7"/>
    </row>
    <row r="838" spans="2:2" x14ac:dyDescent="0.25">
      <c r="B838" s="7"/>
    </row>
    <row r="839" spans="2:2" x14ac:dyDescent="0.25">
      <c r="B839" s="7"/>
    </row>
    <row r="840" spans="2:2" x14ac:dyDescent="0.25">
      <c r="B840" s="7"/>
    </row>
    <row r="841" spans="2:2" x14ac:dyDescent="0.25">
      <c r="B841" s="7"/>
    </row>
    <row r="842" spans="2:2" x14ac:dyDescent="0.25">
      <c r="B842" s="7"/>
    </row>
    <row r="843" spans="2:2" x14ac:dyDescent="0.25">
      <c r="B843" s="7"/>
    </row>
    <row r="844" spans="2:2" x14ac:dyDescent="0.25">
      <c r="B844" s="7"/>
    </row>
    <row r="845" spans="2:2" x14ac:dyDescent="0.25">
      <c r="B845" s="7"/>
    </row>
    <row r="846" spans="2:2" x14ac:dyDescent="0.25">
      <c r="B846" s="7"/>
    </row>
    <row r="847" spans="2:2" x14ac:dyDescent="0.25">
      <c r="B847" s="7"/>
    </row>
    <row r="848" spans="2:2" x14ac:dyDescent="0.25">
      <c r="B848" s="7"/>
    </row>
    <row r="849" spans="2:2" x14ac:dyDescent="0.25">
      <c r="B849" s="7"/>
    </row>
    <row r="850" spans="2:2" x14ac:dyDescent="0.25">
      <c r="B850" s="7"/>
    </row>
    <row r="851" spans="2:2" x14ac:dyDescent="0.25">
      <c r="B851" s="7"/>
    </row>
    <row r="852" spans="2:2" x14ac:dyDescent="0.25">
      <c r="B852" s="7"/>
    </row>
    <row r="853" spans="2:2" x14ac:dyDescent="0.25">
      <c r="B853" s="7"/>
    </row>
    <row r="854" spans="2:2" x14ac:dyDescent="0.25">
      <c r="B854" s="7"/>
    </row>
    <row r="855" spans="2:2" x14ac:dyDescent="0.25">
      <c r="B855" s="7"/>
    </row>
    <row r="856" spans="2:2" x14ac:dyDescent="0.25">
      <c r="B856" s="7"/>
    </row>
    <row r="857" spans="2:2" x14ac:dyDescent="0.25">
      <c r="B857" s="7"/>
    </row>
    <row r="858" spans="2:2" x14ac:dyDescent="0.25">
      <c r="B858" s="7"/>
    </row>
    <row r="859" spans="2:2" x14ac:dyDescent="0.25">
      <c r="B859" s="7"/>
    </row>
    <row r="860" spans="2:2" x14ac:dyDescent="0.25">
      <c r="B860" s="7"/>
    </row>
    <row r="861" spans="2:2" x14ac:dyDescent="0.25">
      <c r="B861" s="7"/>
    </row>
    <row r="862" spans="2:2" x14ac:dyDescent="0.25">
      <c r="B862" s="7"/>
    </row>
    <row r="863" spans="2:2" x14ac:dyDescent="0.25">
      <c r="B863" s="7"/>
    </row>
    <row r="864" spans="2:2" x14ac:dyDescent="0.25">
      <c r="B864" s="7"/>
    </row>
    <row r="865" spans="2:2" x14ac:dyDescent="0.25">
      <c r="B865" s="7"/>
    </row>
    <row r="866" spans="2:2" x14ac:dyDescent="0.25">
      <c r="B866" s="7"/>
    </row>
    <row r="867" spans="2:2" x14ac:dyDescent="0.25">
      <c r="B867" s="7"/>
    </row>
    <row r="868" spans="2:2" x14ac:dyDescent="0.25">
      <c r="B868" s="7"/>
    </row>
    <row r="869" spans="2:2" x14ac:dyDescent="0.25">
      <c r="B869" s="7"/>
    </row>
    <row r="870" spans="2:2" x14ac:dyDescent="0.25">
      <c r="B870" s="7"/>
    </row>
    <row r="871" spans="2:2" x14ac:dyDescent="0.25">
      <c r="B871" s="7"/>
    </row>
    <row r="872" spans="2:2" x14ac:dyDescent="0.25">
      <c r="B872" s="7"/>
    </row>
    <row r="873" spans="2:2" x14ac:dyDescent="0.25">
      <c r="B873" s="7"/>
    </row>
    <row r="874" spans="2:2" x14ac:dyDescent="0.25">
      <c r="B874" s="7"/>
    </row>
    <row r="875" spans="2:2" x14ac:dyDescent="0.25">
      <c r="B875" s="7"/>
    </row>
    <row r="876" spans="2:2" x14ac:dyDescent="0.25">
      <c r="B876" s="7"/>
    </row>
    <row r="877" spans="2:2" x14ac:dyDescent="0.25">
      <c r="B877" s="7"/>
    </row>
    <row r="878" spans="2:2" x14ac:dyDescent="0.25">
      <c r="B878" s="7"/>
    </row>
    <row r="879" spans="2:2" x14ac:dyDescent="0.25">
      <c r="B879" s="7"/>
    </row>
    <row r="880" spans="2:2" x14ac:dyDescent="0.25">
      <c r="B880" s="7"/>
    </row>
    <row r="881" spans="2:2" x14ac:dyDescent="0.25">
      <c r="B881" s="7"/>
    </row>
    <row r="882" spans="2:2" x14ac:dyDescent="0.25">
      <c r="B882" s="7"/>
    </row>
    <row r="883" spans="2:2" x14ac:dyDescent="0.25">
      <c r="B883" s="7"/>
    </row>
    <row r="884" spans="2:2" x14ac:dyDescent="0.25">
      <c r="B884" s="7"/>
    </row>
    <row r="885" spans="2:2" x14ac:dyDescent="0.25">
      <c r="B885" s="7"/>
    </row>
    <row r="886" spans="2:2" x14ac:dyDescent="0.25">
      <c r="B886" s="7"/>
    </row>
    <row r="887" spans="2:2" x14ac:dyDescent="0.25">
      <c r="B887" s="7"/>
    </row>
    <row r="888" spans="2:2" x14ac:dyDescent="0.25">
      <c r="B888" s="7"/>
    </row>
    <row r="889" spans="2:2" x14ac:dyDescent="0.25">
      <c r="B889" s="7"/>
    </row>
    <row r="890" spans="2:2" x14ac:dyDescent="0.25">
      <c r="B890" s="7"/>
    </row>
    <row r="891" spans="2:2" x14ac:dyDescent="0.25">
      <c r="B891" s="7"/>
    </row>
    <row r="892" spans="2:2" x14ac:dyDescent="0.25">
      <c r="B892" s="7"/>
    </row>
    <row r="893" spans="2:2" x14ac:dyDescent="0.25">
      <c r="B893" s="7"/>
    </row>
    <row r="894" spans="2:2" x14ac:dyDescent="0.25">
      <c r="B894" s="7"/>
    </row>
    <row r="895" spans="2:2" x14ac:dyDescent="0.25">
      <c r="B895" s="7"/>
    </row>
    <row r="896" spans="2:2" x14ac:dyDescent="0.25">
      <c r="B896" s="7"/>
    </row>
    <row r="897" spans="2:2" x14ac:dyDescent="0.25">
      <c r="B897" s="7"/>
    </row>
    <row r="898" spans="2:2" x14ac:dyDescent="0.25">
      <c r="B898" s="7"/>
    </row>
    <row r="899" spans="2:2" x14ac:dyDescent="0.25">
      <c r="B899" s="7"/>
    </row>
    <row r="900" spans="2:2" x14ac:dyDescent="0.25">
      <c r="B900" s="7"/>
    </row>
    <row r="901" spans="2:2" x14ac:dyDescent="0.25">
      <c r="B901" s="7"/>
    </row>
    <row r="902" spans="2:2" x14ac:dyDescent="0.25">
      <c r="B902" s="7"/>
    </row>
    <row r="903" spans="2:2" x14ac:dyDescent="0.25">
      <c r="B903" s="7"/>
    </row>
    <row r="904" spans="2:2" x14ac:dyDescent="0.25">
      <c r="B904" s="7"/>
    </row>
    <row r="905" spans="2:2" x14ac:dyDescent="0.25">
      <c r="B905" s="7"/>
    </row>
    <row r="906" spans="2:2" x14ac:dyDescent="0.25">
      <c r="B906" s="7"/>
    </row>
    <row r="907" spans="2:2" x14ac:dyDescent="0.25">
      <c r="B907" s="7"/>
    </row>
    <row r="908" spans="2:2" x14ac:dyDescent="0.25">
      <c r="B908" s="7"/>
    </row>
    <row r="909" spans="2:2" x14ac:dyDescent="0.25">
      <c r="B909" s="7"/>
    </row>
    <row r="910" spans="2:2" x14ac:dyDescent="0.25">
      <c r="B910" s="7"/>
    </row>
    <row r="911" spans="2:2" x14ac:dyDescent="0.25">
      <c r="B911" s="7"/>
    </row>
    <row r="912" spans="2:2" x14ac:dyDescent="0.25">
      <c r="B912" s="7"/>
    </row>
    <row r="913" spans="2:2" x14ac:dyDescent="0.25">
      <c r="B913" s="7"/>
    </row>
    <row r="914" spans="2:2" x14ac:dyDescent="0.25">
      <c r="B914" s="7"/>
    </row>
    <row r="915" spans="2:2" x14ac:dyDescent="0.25">
      <c r="B915" s="7"/>
    </row>
    <row r="916" spans="2:2" x14ac:dyDescent="0.25">
      <c r="B916" s="7"/>
    </row>
    <row r="917" spans="2:2" x14ac:dyDescent="0.25">
      <c r="B917" s="7"/>
    </row>
    <row r="918" spans="2:2" x14ac:dyDescent="0.25">
      <c r="B918" s="7"/>
    </row>
    <row r="919" spans="2:2" x14ac:dyDescent="0.25">
      <c r="B919" s="7"/>
    </row>
    <row r="920" spans="2:2" x14ac:dyDescent="0.25">
      <c r="B920" s="7"/>
    </row>
    <row r="921" spans="2:2" x14ac:dyDescent="0.25">
      <c r="B921" s="7"/>
    </row>
    <row r="922" spans="2:2" x14ac:dyDescent="0.25">
      <c r="B922" s="7"/>
    </row>
    <row r="923" spans="2:2" x14ac:dyDescent="0.25">
      <c r="B923" s="7"/>
    </row>
    <row r="924" spans="2:2" x14ac:dyDescent="0.25">
      <c r="B924" s="7"/>
    </row>
    <row r="925" spans="2:2" x14ac:dyDescent="0.25">
      <c r="B925" s="7"/>
    </row>
    <row r="926" spans="2:2" x14ac:dyDescent="0.25">
      <c r="B926" s="7"/>
    </row>
    <row r="927" spans="2:2" x14ac:dyDescent="0.25">
      <c r="B927" s="7"/>
    </row>
    <row r="928" spans="2:2" x14ac:dyDescent="0.25">
      <c r="B928" s="7"/>
    </row>
    <row r="929" spans="2:2" x14ac:dyDescent="0.25">
      <c r="B929" s="7"/>
    </row>
    <row r="930" spans="2:2" x14ac:dyDescent="0.25">
      <c r="B930" s="7"/>
    </row>
    <row r="931" spans="2:2" x14ac:dyDescent="0.25">
      <c r="B931" s="7"/>
    </row>
    <row r="932" spans="2:2" x14ac:dyDescent="0.25">
      <c r="B932" s="7"/>
    </row>
    <row r="933" spans="2:2" x14ac:dyDescent="0.25">
      <c r="B933" s="7"/>
    </row>
    <row r="934" spans="2:2" x14ac:dyDescent="0.25">
      <c r="B934" s="7"/>
    </row>
    <row r="935" spans="2:2" x14ac:dyDescent="0.25">
      <c r="B935" s="7"/>
    </row>
    <row r="936" spans="2:2" x14ac:dyDescent="0.25">
      <c r="B936" s="7"/>
    </row>
    <row r="937" spans="2:2" x14ac:dyDescent="0.25">
      <c r="B937" s="7"/>
    </row>
    <row r="938" spans="2:2" x14ac:dyDescent="0.25">
      <c r="B938" s="7"/>
    </row>
    <row r="939" spans="2:2" x14ac:dyDescent="0.25">
      <c r="B939" s="7"/>
    </row>
    <row r="940" spans="2:2" x14ac:dyDescent="0.25">
      <c r="B940" s="7"/>
    </row>
    <row r="941" spans="2:2" x14ac:dyDescent="0.25">
      <c r="B941" s="7"/>
    </row>
    <row r="942" spans="2:2" x14ac:dyDescent="0.25">
      <c r="B942" s="7"/>
    </row>
    <row r="943" spans="2:2" x14ac:dyDescent="0.25">
      <c r="B943" s="7"/>
    </row>
    <row r="944" spans="2:2" x14ac:dyDescent="0.25">
      <c r="B944" s="7"/>
    </row>
    <row r="945" spans="2:2" x14ac:dyDescent="0.25">
      <c r="B945" s="7"/>
    </row>
    <row r="946" spans="2:2" x14ac:dyDescent="0.25">
      <c r="B946" s="7"/>
    </row>
    <row r="947" spans="2:2" x14ac:dyDescent="0.25">
      <c r="B947" s="7"/>
    </row>
    <row r="948" spans="2:2" x14ac:dyDescent="0.25">
      <c r="B948" s="7"/>
    </row>
    <row r="949" spans="2:2" x14ac:dyDescent="0.25">
      <c r="B949" s="7"/>
    </row>
    <row r="950" spans="2:2" x14ac:dyDescent="0.25">
      <c r="B950" s="7"/>
    </row>
    <row r="951" spans="2:2" x14ac:dyDescent="0.25">
      <c r="B951" s="7"/>
    </row>
    <row r="952" spans="2:2" x14ac:dyDescent="0.25">
      <c r="B952" s="7"/>
    </row>
    <row r="953" spans="2:2" x14ac:dyDescent="0.25">
      <c r="B953" s="7"/>
    </row>
    <row r="954" spans="2:2" x14ac:dyDescent="0.25">
      <c r="B954" s="7"/>
    </row>
    <row r="955" spans="2:2" x14ac:dyDescent="0.25">
      <c r="B955" s="7"/>
    </row>
    <row r="956" spans="2:2" x14ac:dyDescent="0.25">
      <c r="B956" s="7"/>
    </row>
    <row r="957" spans="2:2" x14ac:dyDescent="0.25">
      <c r="B957" s="7"/>
    </row>
    <row r="958" spans="2:2" x14ac:dyDescent="0.25">
      <c r="B958" s="7"/>
    </row>
    <row r="959" spans="2:2" x14ac:dyDescent="0.25">
      <c r="B959" s="7"/>
    </row>
    <row r="960" spans="2:2" x14ac:dyDescent="0.25">
      <c r="B960" s="7"/>
    </row>
    <row r="961" spans="2:2" x14ac:dyDescent="0.25">
      <c r="B961" s="7"/>
    </row>
    <row r="962" spans="2:2" x14ac:dyDescent="0.25">
      <c r="B962" s="7"/>
    </row>
    <row r="963" spans="2:2" x14ac:dyDescent="0.25">
      <c r="B963" s="7"/>
    </row>
    <row r="964" spans="2:2" x14ac:dyDescent="0.25">
      <c r="B964" s="7"/>
    </row>
    <row r="965" spans="2:2" x14ac:dyDescent="0.25">
      <c r="B965" s="7"/>
    </row>
    <row r="966" spans="2:2" x14ac:dyDescent="0.25">
      <c r="B966" s="7"/>
    </row>
    <row r="967" spans="2:2" x14ac:dyDescent="0.25">
      <c r="B967" s="7"/>
    </row>
    <row r="968" spans="2:2" x14ac:dyDescent="0.25">
      <c r="B968" s="7"/>
    </row>
    <row r="969" spans="2:2" x14ac:dyDescent="0.25">
      <c r="B969" s="7"/>
    </row>
    <row r="970" spans="2:2" x14ac:dyDescent="0.25">
      <c r="B970" s="7"/>
    </row>
    <row r="971" spans="2:2" x14ac:dyDescent="0.25">
      <c r="B971" s="7"/>
    </row>
    <row r="972" spans="2:2" x14ac:dyDescent="0.25">
      <c r="B972" s="7"/>
    </row>
    <row r="973" spans="2:2" x14ac:dyDescent="0.25">
      <c r="B973" s="7"/>
    </row>
    <row r="974" spans="2:2" x14ac:dyDescent="0.25">
      <c r="B974" s="7"/>
    </row>
    <row r="975" spans="2:2" x14ac:dyDescent="0.25">
      <c r="B975" s="7"/>
    </row>
    <row r="976" spans="2:2" x14ac:dyDescent="0.25">
      <c r="B976" s="7"/>
    </row>
    <row r="977" spans="2:2" x14ac:dyDescent="0.25">
      <c r="B977" s="7"/>
    </row>
    <row r="978" spans="2:2" x14ac:dyDescent="0.25">
      <c r="B978" s="7"/>
    </row>
    <row r="979" spans="2:2" x14ac:dyDescent="0.25">
      <c r="B979" s="7"/>
    </row>
    <row r="980" spans="2:2" x14ac:dyDescent="0.25">
      <c r="B980" s="7"/>
    </row>
    <row r="981" spans="2:2" x14ac:dyDescent="0.25">
      <c r="B981" s="7"/>
    </row>
    <row r="982" spans="2:2" x14ac:dyDescent="0.25">
      <c r="B982" s="7"/>
    </row>
    <row r="983" spans="2:2" x14ac:dyDescent="0.25">
      <c r="B983" s="7"/>
    </row>
    <row r="984" spans="2:2" x14ac:dyDescent="0.25">
      <c r="B984" s="7"/>
    </row>
    <row r="985" spans="2:2" x14ac:dyDescent="0.25">
      <c r="B985" s="7"/>
    </row>
    <row r="986" spans="2:2" x14ac:dyDescent="0.25">
      <c r="B986" s="7"/>
    </row>
    <row r="987" spans="2:2" x14ac:dyDescent="0.25">
      <c r="B987" s="7"/>
    </row>
    <row r="988" spans="2:2" x14ac:dyDescent="0.25">
      <c r="B988" s="7"/>
    </row>
    <row r="989" spans="2:2" x14ac:dyDescent="0.25">
      <c r="B989" s="7"/>
    </row>
    <row r="990" spans="2:2" x14ac:dyDescent="0.25">
      <c r="B990" s="7"/>
    </row>
    <row r="991" spans="2:2" x14ac:dyDescent="0.25">
      <c r="B991" s="7"/>
    </row>
    <row r="992" spans="2:2" x14ac:dyDescent="0.25">
      <c r="B992" s="7"/>
    </row>
    <row r="993" spans="2:2" x14ac:dyDescent="0.25">
      <c r="B993" s="7"/>
    </row>
    <row r="994" spans="2:2" x14ac:dyDescent="0.25">
      <c r="B994" s="7"/>
    </row>
  </sheetData>
  <mergeCells count="4">
    <mergeCell ref="B2:C2"/>
    <mergeCell ref="B24:C24"/>
    <mergeCell ref="B33:D33"/>
    <mergeCell ref="B34:D34"/>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69408-83B0-4EEA-8AD7-6F86F4E2E0E9}">
  <sheetPr codeName="Sheet13">
    <tabColor theme="9" tint="0.59999389629810485"/>
  </sheetPr>
  <dimension ref="B2:D192"/>
  <sheetViews>
    <sheetView showGridLines="0" workbookViewId="0">
      <selection activeCell="B35" sqref="B35"/>
    </sheetView>
  </sheetViews>
  <sheetFormatPr defaultRowHeight="15" x14ac:dyDescent="0.25"/>
  <cols>
    <col min="2" max="2" width="12.7109375" customWidth="1"/>
    <col min="3" max="3" width="16.140625" customWidth="1"/>
    <col min="4" max="4" width="10.140625" bestFit="1" customWidth="1"/>
    <col min="14" max="14" width="10.140625" bestFit="1" customWidth="1"/>
  </cols>
  <sheetData>
    <row r="2" spans="2:4" x14ac:dyDescent="0.25">
      <c r="B2" s="6" t="s">
        <v>18</v>
      </c>
      <c r="C2" s="6"/>
      <c r="D2" s="3"/>
    </row>
    <row r="24" spans="2:4" x14ac:dyDescent="0.25">
      <c r="B24" s="6" t="s">
        <v>19</v>
      </c>
      <c r="C24" s="6"/>
      <c r="D24" s="3"/>
    </row>
    <row r="25" spans="2:4" x14ac:dyDescent="0.25">
      <c r="B25" s="5" t="s">
        <v>20</v>
      </c>
      <c r="C25" s="4" t="s">
        <v>21</v>
      </c>
    </row>
    <row r="26" spans="2:4" x14ac:dyDescent="0.25">
      <c r="B26" s="5" t="s">
        <v>22</v>
      </c>
      <c r="C26" s="4" t="s">
        <v>23</v>
      </c>
    </row>
    <row r="27" spans="2:4" x14ac:dyDescent="0.25">
      <c r="B27" t="s">
        <v>2</v>
      </c>
      <c r="C27" t="e" vm="319">
        <v>#VALUE!</v>
      </c>
    </row>
    <row r="33" spans="2:3" x14ac:dyDescent="0.25">
      <c r="B33" s="6" t="s">
        <v>28</v>
      </c>
      <c r="C33" s="6"/>
    </row>
    <row r="34" spans="2:3" x14ac:dyDescent="0.25">
      <c r="B34" s="8" t="s">
        <v>29</v>
      </c>
      <c r="C34" s="8"/>
    </row>
    <row r="35" spans="2:3" x14ac:dyDescent="0.25">
      <c r="B35" cm="1" vm="2">
        <f t="array" aca="1" ref="B35:C192" ca="1">_xlfn.STOCKHISTORY(C27,DATE(2023,12,29),TODAY(),0,0,0,1)</f>
        <v>45289</v>
      </c>
      <c r="C35" vm="320">
        <f ca="1"/>
        <v>322.14999999999998</v>
      </c>
    </row>
    <row r="36" spans="2:3" x14ac:dyDescent="0.25">
      <c r="B36" vm="4">
        <f ca="1"/>
        <v>45293</v>
      </c>
      <c r="C36" vm="321">
        <f ca="1"/>
        <v>326.35000000000002</v>
      </c>
    </row>
    <row r="37" spans="2:3" x14ac:dyDescent="0.25">
      <c r="B37" vm="7">
        <f ca="1"/>
        <v>45294</v>
      </c>
      <c r="C37" vm="322">
        <f ca="1"/>
        <v>329.3</v>
      </c>
    </row>
    <row r="38" spans="2:3" x14ac:dyDescent="0.25">
      <c r="B38" vm="9">
        <f ca="1"/>
        <v>45295</v>
      </c>
      <c r="C38" vm="323">
        <f ca="1"/>
        <v>334.95</v>
      </c>
    </row>
    <row r="39" spans="2:3" x14ac:dyDescent="0.25">
      <c r="B39" vm="11">
        <f ca="1"/>
        <v>45296</v>
      </c>
      <c r="C39" vm="324">
        <f ca="1"/>
        <v>333.75</v>
      </c>
    </row>
    <row r="40" spans="2:3" x14ac:dyDescent="0.25">
      <c r="B40" vm="13">
        <f ca="1"/>
        <v>45299</v>
      </c>
      <c r="C40" vm="325">
        <f ca="1"/>
        <v>318.8</v>
      </c>
    </row>
    <row r="41" spans="2:3" x14ac:dyDescent="0.25">
      <c r="B41" vm="15">
        <f ca="1"/>
        <v>45300</v>
      </c>
      <c r="C41" vm="326">
        <f ca="1"/>
        <v>317.7</v>
      </c>
    </row>
    <row r="42" spans="2:3" x14ac:dyDescent="0.25">
      <c r="B42" vm="17">
        <f ca="1"/>
        <v>45301</v>
      </c>
      <c r="C42" vm="327">
        <f ca="1"/>
        <v>313.14999999999998</v>
      </c>
    </row>
    <row r="43" spans="2:3" x14ac:dyDescent="0.25">
      <c r="B43" vm="19">
        <f ca="1"/>
        <v>45302</v>
      </c>
      <c r="C43" vm="328">
        <f ca="1"/>
        <v>311.10000000000002</v>
      </c>
    </row>
    <row r="44" spans="2:3" x14ac:dyDescent="0.25">
      <c r="B44" vm="21">
        <f ca="1"/>
        <v>45303</v>
      </c>
      <c r="C44" vm="329">
        <f ca="1"/>
        <v>315</v>
      </c>
    </row>
    <row r="45" spans="2:3" x14ac:dyDescent="0.25">
      <c r="B45" vm="23">
        <f ca="1"/>
        <v>45306</v>
      </c>
      <c r="C45" vm="330">
        <f ca="1"/>
        <v>306.25</v>
      </c>
    </row>
    <row r="46" spans="2:3" x14ac:dyDescent="0.25">
      <c r="B46" vm="25">
        <f ca="1"/>
        <v>45307</v>
      </c>
      <c r="C46" vm="331">
        <f ca="1"/>
        <v>307.05</v>
      </c>
    </row>
    <row r="47" spans="2:3" x14ac:dyDescent="0.25">
      <c r="B47" vm="27">
        <f ca="1"/>
        <v>45308</v>
      </c>
      <c r="C47" vm="332">
        <f ca="1"/>
        <v>302.55</v>
      </c>
    </row>
    <row r="48" spans="2:3" x14ac:dyDescent="0.25">
      <c r="B48" vm="29">
        <f ca="1"/>
        <v>45309</v>
      </c>
      <c r="C48" vm="333">
        <f ca="1"/>
        <v>299.2</v>
      </c>
    </row>
    <row r="49" spans="2:3" x14ac:dyDescent="0.25">
      <c r="B49" vm="31">
        <f ca="1"/>
        <v>45310</v>
      </c>
      <c r="C49" vm="334">
        <f ca="1"/>
        <v>297.8</v>
      </c>
    </row>
    <row r="50" spans="2:3" x14ac:dyDescent="0.25">
      <c r="B50" vm="33">
        <f ca="1"/>
        <v>45313</v>
      </c>
      <c r="C50" vm="335">
        <f ca="1"/>
        <v>293.7</v>
      </c>
    </row>
    <row r="51" spans="2:3" x14ac:dyDescent="0.25">
      <c r="B51" vm="35">
        <f ca="1"/>
        <v>45314</v>
      </c>
      <c r="C51" vm="336">
        <f ca="1"/>
        <v>296.89999999999998</v>
      </c>
    </row>
    <row r="52" spans="2:3" x14ac:dyDescent="0.25">
      <c r="B52" vm="37">
        <f ca="1"/>
        <v>45315</v>
      </c>
      <c r="C52" vm="337">
        <f ca="1"/>
        <v>296.14999999999998</v>
      </c>
    </row>
    <row r="53" spans="2:3" x14ac:dyDescent="0.25">
      <c r="B53" vm="39">
        <f ca="1"/>
        <v>45316</v>
      </c>
      <c r="C53" vm="338">
        <f ca="1"/>
        <v>298.85000000000002</v>
      </c>
    </row>
    <row r="54" spans="2:3" x14ac:dyDescent="0.25">
      <c r="B54" vm="41">
        <f ca="1"/>
        <v>45317</v>
      </c>
      <c r="C54" vm="339">
        <f ca="1"/>
        <v>301.60000000000002</v>
      </c>
    </row>
    <row r="55" spans="2:3" x14ac:dyDescent="0.25">
      <c r="B55" vm="43">
        <f ca="1"/>
        <v>45320</v>
      </c>
      <c r="C55" vm="340">
        <f ca="1"/>
        <v>301.8</v>
      </c>
    </row>
    <row r="56" spans="2:3" x14ac:dyDescent="0.25">
      <c r="B56" vm="45">
        <f ca="1"/>
        <v>45321</v>
      </c>
      <c r="C56" vm="341">
        <f ca="1"/>
        <v>301.45</v>
      </c>
    </row>
    <row r="57" spans="2:3" x14ac:dyDescent="0.25">
      <c r="B57" vm="47">
        <f ca="1"/>
        <v>45322</v>
      </c>
      <c r="C57" vm="342">
        <f ca="1"/>
        <v>302.64999999999998</v>
      </c>
    </row>
    <row r="58" spans="2:3" x14ac:dyDescent="0.25">
      <c r="B58" vm="49">
        <f ca="1"/>
        <v>45323</v>
      </c>
      <c r="C58" vm="343">
        <f ca="1"/>
        <v>305.10000000000002</v>
      </c>
    </row>
    <row r="59" spans="2:3" x14ac:dyDescent="0.25">
      <c r="B59" vm="51">
        <f ca="1"/>
        <v>45324</v>
      </c>
      <c r="C59" vm="344">
        <f ca="1"/>
        <v>301.10000000000002</v>
      </c>
    </row>
    <row r="60" spans="2:3" x14ac:dyDescent="0.25">
      <c r="B60" vm="53">
        <f ca="1"/>
        <v>45327</v>
      </c>
      <c r="C60" vm="345">
        <f ca="1"/>
        <v>300.95</v>
      </c>
    </row>
    <row r="61" spans="2:3" x14ac:dyDescent="0.25">
      <c r="B61" vm="55">
        <f ca="1"/>
        <v>45328</v>
      </c>
      <c r="C61" vm="346">
        <f ca="1"/>
        <v>308.55</v>
      </c>
    </row>
    <row r="62" spans="2:3" x14ac:dyDescent="0.25">
      <c r="B62" vm="57">
        <f ca="1"/>
        <v>45329</v>
      </c>
      <c r="C62" vm="347">
        <f ca="1"/>
        <v>284.60000000000002</v>
      </c>
    </row>
    <row r="63" spans="2:3" x14ac:dyDescent="0.25">
      <c r="B63" vm="59">
        <f ca="1"/>
        <v>45330</v>
      </c>
      <c r="C63" vm="348">
        <f ca="1"/>
        <v>278.64999999999998</v>
      </c>
    </row>
    <row r="64" spans="2:3" x14ac:dyDescent="0.25">
      <c r="B64" vm="61">
        <f ca="1"/>
        <v>45331</v>
      </c>
      <c r="C64" vm="349">
        <f ca="1"/>
        <v>277.55</v>
      </c>
    </row>
    <row r="65" spans="2:3" x14ac:dyDescent="0.25">
      <c r="B65" vm="63">
        <f ca="1"/>
        <v>45334</v>
      </c>
      <c r="C65" vm="350">
        <f ca="1"/>
        <v>277.95</v>
      </c>
    </row>
    <row r="66" spans="2:3" x14ac:dyDescent="0.25">
      <c r="B66" vm="65">
        <f ca="1"/>
        <v>45335</v>
      </c>
      <c r="C66" vm="351">
        <f ca="1"/>
        <v>271.45</v>
      </c>
    </row>
    <row r="67" spans="2:3" x14ac:dyDescent="0.25">
      <c r="B67" vm="67">
        <f ca="1"/>
        <v>45336</v>
      </c>
      <c r="C67" vm="352">
        <f ca="1"/>
        <v>264</v>
      </c>
    </row>
    <row r="68" spans="2:3" x14ac:dyDescent="0.25">
      <c r="B68" vm="69">
        <f ca="1"/>
        <v>45337</v>
      </c>
      <c r="C68" vm="353">
        <f ca="1"/>
        <v>261.95</v>
      </c>
    </row>
    <row r="69" spans="2:3" x14ac:dyDescent="0.25">
      <c r="B69" vm="71">
        <f ca="1"/>
        <v>45338</v>
      </c>
      <c r="C69" vm="354">
        <f ca="1"/>
        <v>266.05</v>
      </c>
    </row>
    <row r="70" spans="2:3" x14ac:dyDescent="0.25">
      <c r="B70" vm="73">
        <f ca="1"/>
        <v>45341</v>
      </c>
      <c r="C70" vm="355">
        <f ca="1"/>
        <v>267.60000000000002</v>
      </c>
    </row>
    <row r="71" spans="2:3" x14ac:dyDescent="0.25">
      <c r="B71" vm="75">
        <f ca="1"/>
        <v>45342</v>
      </c>
      <c r="C71" vm="356">
        <f ca="1"/>
        <v>264.25</v>
      </c>
    </row>
    <row r="72" spans="2:3" x14ac:dyDescent="0.25">
      <c r="B72" vm="77">
        <f ca="1"/>
        <v>45343</v>
      </c>
      <c r="C72" vm="357">
        <f ca="1"/>
        <v>263.89999999999998</v>
      </c>
    </row>
    <row r="73" spans="2:3" x14ac:dyDescent="0.25">
      <c r="B73" vm="79">
        <f ca="1"/>
        <v>45344</v>
      </c>
      <c r="C73" vm="358">
        <f ca="1"/>
        <v>267.3</v>
      </c>
    </row>
    <row r="74" spans="2:3" x14ac:dyDescent="0.25">
      <c r="B74" vm="81">
        <f ca="1"/>
        <v>45345</v>
      </c>
      <c r="C74" vm="359">
        <f ca="1"/>
        <v>265.39999999999998</v>
      </c>
    </row>
    <row r="75" spans="2:3" x14ac:dyDescent="0.25">
      <c r="B75" vm="83">
        <f ca="1"/>
        <v>45348</v>
      </c>
      <c r="C75" vm="360">
        <f ca="1"/>
        <v>263</v>
      </c>
    </row>
    <row r="76" spans="2:3" x14ac:dyDescent="0.25">
      <c r="B76" vm="85">
        <f ca="1"/>
        <v>45349</v>
      </c>
      <c r="C76" vm="361">
        <f ca="1"/>
        <v>262.3</v>
      </c>
    </row>
    <row r="77" spans="2:3" x14ac:dyDescent="0.25">
      <c r="B77" vm="87">
        <f ca="1"/>
        <v>45350</v>
      </c>
      <c r="C77" vm="362">
        <f ca="1"/>
        <v>264.39999999999998</v>
      </c>
    </row>
    <row r="78" spans="2:3" x14ac:dyDescent="0.25">
      <c r="B78" vm="89">
        <f ca="1"/>
        <v>45351</v>
      </c>
      <c r="C78" vm="363">
        <f ca="1"/>
        <v>261.64999999999998</v>
      </c>
    </row>
    <row r="79" spans="2:3" x14ac:dyDescent="0.25">
      <c r="B79" vm="91">
        <f ca="1"/>
        <v>45352</v>
      </c>
      <c r="C79" vm="352">
        <f ca="1"/>
        <v>264</v>
      </c>
    </row>
    <row r="80" spans="2:3" x14ac:dyDescent="0.25">
      <c r="B80" vm="93">
        <f ca="1"/>
        <v>45355</v>
      </c>
      <c r="C80" vm="364">
        <f ca="1"/>
        <v>262.89999999999998</v>
      </c>
    </row>
    <row r="81" spans="2:3" x14ac:dyDescent="0.25">
      <c r="B81" vm="95">
        <f ca="1"/>
        <v>45356</v>
      </c>
      <c r="C81" vm="365">
        <f ca="1"/>
        <v>268.89999999999998</v>
      </c>
    </row>
    <row r="82" spans="2:3" x14ac:dyDescent="0.25">
      <c r="B82" vm="97">
        <f ca="1"/>
        <v>45357</v>
      </c>
      <c r="C82" vm="366">
        <f ca="1"/>
        <v>273.10000000000002</v>
      </c>
    </row>
    <row r="83" spans="2:3" x14ac:dyDescent="0.25">
      <c r="B83" vm="99">
        <f ca="1"/>
        <v>45358</v>
      </c>
      <c r="C83" vm="367">
        <f ca="1"/>
        <v>269.55</v>
      </c>
    </row>
    <row r="84" spans="2:3" x14ac:dyDescent="0.25">
      <c r="B84" vm="101">
        <f ca="1"/>
        <v>45359</v>
      </c>
      <c r="C84" vm="368">
        <f ca="1"/>
        <v>271</v>
      </c>
    </row>
    <row r="85" spans="2:3" x14ac:dyDescent="0.25">
      <c r="B85" vm="103">
        <f ca="1"/>
        <v>45362</v>
      </c>
      <c r="C85" vm="369">
        <f ca="1"/>
        <v>268.35000000000002</v>
      </c>
    </row>
    <row r="86" spans="2:3" x14ac:dyDescent="0.25">
      <c r="B86" vm="105">
        <f ca="1"/>
        <v>45363</v>
      </c>
      <c r="C86" vm="370">
        <f ca="1"/>
        <v>270.25</v>
      </c>
    </row>
    <row r="87" spans="2:3" x14ac:dyDescent="0.25">
      <c r="B87" vm="107">
        <f ca="1"/>
        <v>45364</v>
      </c>
      <c r="C87" vm="371">
        <f ca="1"/>
        <v>274.95</v>
      </c>
    </row>
    <row r="88" spans="2:3" x14ac:dyDescent="0.25">
      <c r="B88" vm="109">
        <f ca="1"/>
        <v>45365</v>
      </c>
      <c r="C88" vm="372">
        <f ca="1"/>
        <v>276</v>
      </c>
    </row>
    <row r="89" spans="2:3" x14ac:dyDescent="0.25">
      <c r="B89" vm="111">
        <f ca="1"/>
        <v>45366</v>
      </c>
      <c r="C89" vm="349">
        <f ca="1"/>
        <v>277.55</v>
      </c>
    </row>
    <row r="90" spans="2:3" x14ac:dyDescent="0.25">
      <c r="B90" vm="113">
        <f ca="1"/>
        <v>45369</v>
      </c>
      <c r="C90" vm="373">
        <f ca="1"/>
        <v>280.3</v>
      </c>
    </row>
    <row r="91" spans="2:3" x14ac:dyDescent="0.25">
      <c r="B91" vm="115">
        <f ca="1"/>
        <v>45370</v>
      </c>
      <c r="C91" vm="374">
        <f ca="1"/>
        <v>282.64999999999998</v>
      </c>
    </row>
    <row r="92" spans="2:3" x14ac:dyDescent="0.25">
      <c r="B92" vm="117">
        <f ca="1"/>
        <v>45371</v>
      </c>
      <c r="C92" vm="375">
        <f ca="1"/>
        <v>282.7</v>
      </c>
    </row>
    <row r="93" spans="2:3" x14ac:dyDescent="0.25">
      <c r="B93" vm="119">
        <f ca="1"/>
        <v>45372</v>
      </c>
      <c r="C93" vm="347">
        <f ca="1"/>
        <v>284.60000000000002</v>
      </c>
    </row>
    <row r="94" spans="2:3" x14ac:dyDescent="0.25">
      <c r="B94" vm="121">
        <f ca="1"/>
        <v>45373</v>
      </c>
      <c r="C94" vm="376">
        <f ca="1"/>
        <v>286.8</v>
      </c>
    </row>
    <row r="95" spans="2:3" x14ac:dyDescent="0.25">
      <c r="B95" vm="123">
        <f ca="1"/>
        <v>45376</v>
      </c>
      <c r="C95" vm="377">
        <f ca="1"/>
        <v>291</v>
      </c>
    </row>
    <row r="96" spans="2:3" x14ac:dyDescent="0.25">
      <c r="B96" vm="125">
        <f ca="1"/>
        <v>45377</v>
      </c>
      <c r="C96" vm="378">
        <f ca="1"/>
        <v>286.55</v>
      </c>
    </row>
    <row r="97" spans="2:3" x14ac:dyDescent="0.25">
      <c r="B97" vm="127">
        <f ca="1"/>
        <v>45378</v>
      </c>
      <c r="C97" vm="379">
        <f ca="1"/>
        <v>286.39999999999998</v>
      </c>
    </row>
    <row r="98" spans="2:3" x14ac:dyDescent="0.25">
      <c r="B98" vm="129">
        <f ca="1"/>
        <v>45384</v>
      </c>
      <c r="C98" vm="380">
        <f ca="1"/>
        <v>297.89999999999998</v>
      </c>
    </row>
    <row r="99" spans="2:3" x14ac:dyDescent="0.25">
      <c r="B99" vm="131">
        <f ca="1"/>
        <v>45385</v>
      </c>
      <c r="C99" vm="333">
        <f ca="1"/>
        <v>299.2</v>
      </c>
    </row>
    <row r="100" spans="2:3" x14ac:dyDescent="0.25">
      <c r="B100" vm="133">
        <f ca="1"/>
        <v>45386</v>
      </c>
      <c r="C100" vm="381">
        <f ca="1"/>
        <v>299.55</v>
      </c>
    </row>
    <row r="101" spans="2:3" x14ac:dyDescent="0.25">
      <c r="B101" vm="135">
        <f ca="1"/>
        <v>45387</v>
      </c>
      <c r="C101" vm="382">
        <f ca="1"/>
        <v>299.89999999999998</v>
      </c>
    </row>
    <row r="102" spans="2:3" x14ac:dyDescent="0.25">
      <c r="B102" vm="137">
        <f ca="1"/>
        <v>45390</v>
      </c>
      <c r="C102" vm="383">
        <f ca="1"/>
        <v>296.10000000000002</v>
      </c>
    </row>
    <row r="103" spans="2:3" x14ac:dyDescent="0.25">
      <c r="B103" vm="139">
        <f ca="1"/>
        <v>45391</v>
      </c>
      <c r="C103" vm="384">
        <f ca="1"/>
        <v>297.45</v>
      </c>
    </row>
    <row r="104" spans="2:3" x14ac:dyDescent="0.25">
      <c r="B104" vm="141">
        <f ca="1"/>
        <v>45392</v>
      </c>
      <c r="C104" vm="385">
        <f ca="1"/>
        <v>299.95</v>
      </c>
    </row>
    <row r="105" spans="2:3" x14ac:dyDescent="0.25">
      <c r="B105" vm="143">
        <f ca="1"/>
        <v>45393</v>
      </c>
      <c r="C105" vm="386">
        <f ca="1"/>
        <v>304.2</v>
      </c>
    </row>
    <row r="106" spans="2:3" x14ac:dyDescent="0.25">
      <c r="B106" vm="145">
        <f ca="1"/>
        <v>45394</v>
      </c>
      <c r="C106" vm="387">
        <f ca="1"/>
        <v>313.89999999999998</v>
      </c>
    </row>
    <row r="107" spans="2:3" x14ac:dyDescent="0.25">
      <c r="B107" vm="147">
        <f ca="1"/>
        <v>45397</v>
      </c>
      <c r="C107" vm="388">
        <f ca="1"/>
        <v>304.39999999999998</v>
      </c>
    </row>
    <row r="108" spans="2:3" x14ac:dyDescent="0.25">
      <c r="B108" vm="149">
        <f ca="1"/>
        <v>45398</v>
      </c>
      <c r="C108" vm="389">
        <f ca="1"/>
        <v>303</v>
      </c>
    </row>
    <row r="109" spans="2:3" x14ac:dyDescent="0.25">
      <c r="B109" vm="151">
        <f ca="1"/>
        <v>45399</v>
      </c>
      <c r="C109" vm="390">
        <f ca="1"/>
        <v>301.75</v>
      </c>
    </row>
    <row r="110" spans="2:3" x14ac:dyDescent="0.25">
      <c r="B110" vm="153">
        <f ca="1"/>
        <v>45400</v>
      </c>
      <c r="C110" vm="391">
        <f ca="1"/>
        <v>300.39999999999998</v>
      </c>
    </row>
    <row r="111" spans="2:3" x14ac:dyDescent="0.25">
      <c r="B111" vm="155">
        <f ca="1"/>
        <v>45401</v>
      </c>
      <c r="C111" vm="392">
        <f ca="1"/>
        <v>299</v>
      </c>
    </row>
    <row r="112" spans="2:3" x14ac:dyDescent="0.25">
      <c r="B112" vm="157">
        <f ca="1"/>
        <v>45404</v>
      </c>
      <c r="C112" vm="393">
        <f ca="1"/>
        <v>296.8</v>
      </c>
    </row>
    <row r="113" spans="2:3" x14ac:dyDescent="0.25">
      <c r="B113" vm="159">
        <f ca="1"/>
        <v>45405</v>
      </c>
      <c r="C113" vm="394">
        <f ca="1"/>
        <v>294.10000000000002</v>
      </c>
    </row>
    <row r="114" spans="2:3" x14ac:dyDescent="0.25">
      <c r="B114" vm="161">
        <f ca="1"/>
        <v>45406</v>
      </c>
      <c r="C114" vm="395">
        <f ca="1"/>
        <v>297.7</v>
      </c>
    </row>
    <row r="115" spans="2:3" x14ac:dyDescent="0.25">
      <c r="B115" vm="163">
        <f ca="1"/>
        <v>45407</v>
      </c>
      <c r="C115" vm="396">
        <f ca="1"/>
        <v>305</v>
      </c>
    </row>
    <row r="116" spans="2:3" x14ac:dyDescent="0.25">
      <c r="B116" vm="165">
        <f ca="1"/>
        <v>45408</v>
      </c>
      <c r="C116" vm="397">
        <f ca="1"/>
        <v>303.64999999999998</v>
      </c>
    </row>
    <row r="117" spans="2:3" x14ac:dyDescent="0.25">
      <c r="B117" vm="167">
        <f ca="1"/>
        <v>45411</v>
      </c>
      <c r="C117" vm="398">
        <f ca="1"/>
        <v>300.14999999999998</v>
      </c>
    </row>
    <row r="118" spans="2:3" x14ac:dyDescent="0.25">
      <c r="B118" vm="169">
        <f ca="1"/>
        <v>45412</v>
      </c>
      <c r="C118" vm="399">
        <f ca="1"/>
        <v>298.95</v>
      </c>
    </row>
    <row r="119" spans="2:3" x14ac:dyDescent="0.25">
      <c r="B119" vm="171">
        <f ca="1"/>
        <v>45414</v>
      </c>
      <c r="C119" vm="333">
        <f ca="1"/>
        <v>299.2</v>
      </c>
    </row>
    <row r="120" spans="2:3" x14ac:dyDescent="0.25">
      <c r="B120" vm="173">
        <f ca="1"/>
        <v>45415</v>
      </c>
      <c r="C120" vm="400">
        <f ca="1"/>
        <v>298.10000000000002</v>
      </c>
    </row>
    <row r="121" spans="2:3" x14ac:dyDescent="0.25">
      <c r="B121" vm="175">
        <f ca="1"/>
        <v>45418</v>
      </c>
      <c r="C121" vm="401">
        <f ca="1"/>
        <v>305.5</v>
      </c>
    </row>
    <row r="122" spans="2:3" x14ac:dyDescent="0.25">
      <c r="B122" vm="177">
        <f ca="1"/>
        <v>45419</v>
      </c>
      <c r="C122" vm="402">
        <f ca="1"/>
        <v>305.64999999999998</v>
      </c>
    </row>
    <row r="123" spans="2:3" x14ac:dyDescent="0.25">
      <c r="B123" vm="179">
        <f ca="1"/>
        <v>45420</v>
      </c>
      <c r="C123" vm="403">
        <f ca="1"/>
        <v>304.7</v>
      </c>
    </row>
    <row r="124" spans="2:3" x14ac:dyDescent="0.25">
      <c r="B124" vm="181">
        <f ca="1"/>
        <v>45422</v>
      </c>
      <c r="C124" vm="404">
        <f ca="1"/>
        <v>312.75</v>
      </c>
    </row>
    <row r="125" spans="2:3" x14ac:dyDescent="0.25">
      <c r="B125" vm="183">
        <f ca="1"/>
        <v>45425</v>
      </c>
      <c r="C125" vm="405">
        <f ca="1"/>
        <v>308.60000000000002</v>
      </c>
    </row>
    <row r="126" spans="2:3" x14ac:dyDescent="0.25">
      <c r="B126" vm="185">
        <f ca="1"/>
        <v>45426</v>
      </c>
      <c r="C126" vm="406">
        <f ca="1"/>
        <v>309.05</v>
      </c>
    </row>
    <row r="127" spans="2:3" x14ac:dyDescent="0.25">
      <c r="B127" vm="187">
        <f ca="1"/>
        <v>45427</v>
      </c>
      <c r="C127" vm="407">
        <f ca="1"/>
        <v>298.7</v>
      </c>
    </row>
    <row r="128" spans="2:3" x14ac:dyDescent="0.25">
      <c r="B128" vm="189">
        <f ca="1"/>
        <v>45428</v>
      </c>
      <c r="C128" vm="408">
        <f ca="1"/>
        <v>298.8</v>
      </c>
    </row>
    <row r="129" spans="2:3" x14ac:dyDescent="0.25">
      <c r="B129" vm="191">
        <f ca="1"/>
        <v>45433</v>
      </c>
      <c r="C129" vm="409">
        <f ca="1"/>
        <v>305.8</v>
      </c>
    </row>
    <row r="130" spans="2:3" x14ac:dyDescent="0.25">
      <c r="B130" vm="193">
        <f ca="1"/>
        <v>45434</v>
      </c>
      <c r="C130" vm="410">
        <f ca="1"/>
        <v>304.10000000000002</v>
      </c>
    </row>
    <row r="131" spans="2:3" x14ac:dyDescent="0.25">
      <c r="B131" vm="195">
        <f ca="1"/>
        <v>45435</v>
      </c>
      <c r="C131" vm="411">
        <f ca="1"/>
        <v>310.45</v>
      </c>
    </row>
    <row r="132" spans="2:3" x14ac:dyDescent="0.25">
      <c r="B132" vm="197">
        <f ca="1"/>
        <v>45436</v>
      </c>
      <c r="C132" vm="412">
        <f ca="1"/>
        <v>302</v>
      </c>
    </row>
    <row r="133" spans="2:3" x14ac:dyDescent="0.25">
      <c r="B133" vm="199">
        <f ca="1"/>
        <v>45439</v>
      </c>
      <c r="C133" vm="397">
        <f ca="1"/>
        <v>303.64999999999998</v>
      </c>
    </row>
    <row r="134" spans="2:3" x14ac:dyDescent="0.25">
      <c r="B134" vm="201">
        <f ca="1"/>
        <v>45440</v>
      </c>
      <c r="C134" vm="413">
        <f ca="1"/>
        <v>301.64999999999998</v>
      </c>
    </row>
    <row r="135" spans="2:3" x14ac:dyDescent="0.25">
      <c r="B135" vm="203">
        <f ca="1"/>
        <v>45441</v>
      </c>
      <c r="C135" vm="414">
        <f ca="1"/>
        <v>300.5</v>
      </c>
    </row>
    <row r="136" spans="2:3" x14ac:dyDescent="0.25">
      <c r="B136" vm="205">
        <f ca="1"/>
        <v>45442</v>
      </c>
      <c r="C136" vm="415">
        <f ca="1"/>
        <v>298</v>
      </c>
    </row>
    <row r="137" spans="2:3" x14ac:dyDescent="0.25">
      <c r="B137" vm="207">
        <f ca="1"/>
        <v>45443</v>
      </c>
      <c r="C137" vm="416">
        <f ca="1"/>
        <v>302.85000000000002</v>
      </c>
    </row>
    <row r="138" spans="2:3" x14ac:dyDescent="0.25">
      <c r="B138" vm="209">
        <f ca="1"/>
        <v>45446</v>
      </c>
      <c r="C138" vm="417">
        <f ca="1"/>
        <v>303.85000000000002</v>
      </c>
    </row>
    <row r="139" spans="2:3" x14ac:dyDescent="0.25">
      <c r="B139" vm="211">
        <f ca="1"/>
        <v>45447</v>
      </c>
      <c r="C139" vm="418">
        <f ca="1"/>
        <v>292.10000000000002</v>
      </c>
    </row>
    <row r="140" spans="2:3" x14ac:dyDescent="0.25">
      <c r="B140" vm="213">
        <f ca="1"/>
        <v>45448</v>
      </c>
      <c r="C140" vm="419">
        <f ca="1"/>
        <v>294.7</v>
      </c>
    </row>
    <row r="141" spans="2:3" x14ac:dyDescent="0.25">
      <c r="B141" vm="215">
        <f ca="1"/>
        <v>45449</v>
      </c>
      <c r="C141" vm="420">
        <f ca="1"/>
        <v>294.3</v>
      </c>
    </row>
    <row r="142" spans="2:3" x14ac:dyDescent="0.25">
      <c r="B142" vm="217">
        <f ca="1"/>
        <v>45450</v>
      </c>
      <c r="C142" vm="421">
        <f ca="1"/>
        <v>298.14999999999998</v>
      </c>
    </row>
    <row r="143" spans="2:3" x14ac:dyDescent="0.25">
      <c r="B143" vm="219">
        <f ca="1"/>
        <v>45453</v>
      </c>
      <c r="C143" vm="422">
        <f ca="1"/>
        <v>299.14999999999998</v>
      </c>
    </row>
    <row r="144" spans="2:3" x14ac:dyDescent="0.25">
      <c r="B144" vm="221">
        <f ca="1"/>
        <v>45454</v>
      </c>
      <c r="C144" vm="423">
        <f ca="1"/>
        <v>298.35000000000002</v>
      </c>
    </row>
    <row r="145" spans="2:3" x14ac:dyDescent="0.25">
      <c r="B145" vm="223">
        <f ca="1"/>
        <v>45455</v>
      </c>
      <c r="C145" vm="424">
        <f ca="1"/>
        <v>298.55</v>
      </c>
    </row>
    <row r="146" spans="2:3" x14ac:dyDescent="0.25">
      <c r="B146" vm="225">
        <f ca="1"/>
        <v>45456</v>
      </c>
      <c r="C146" vm="425">
        <f ca="1"/>
        <v>291.2</v>
      </c>
    </row>
    <row r="147" spans="2:3" x14ac:dyDescent="0.25">
      <c r="B147" vm="227">
        <f ca="1"/>
        <v>45457</v>
      </c>
      <c r="C147" vm="426">
        <f ca="1"/>
        <v>289.7</v>
      </c>
    </row>
    <row r="148" spans="2:3" x14ac:dyDescent="0.25">
      <c r="B148" vm="229">
        <f ca="1"/>
        <v>45460</v>
      </c>
      <c r="C148" vm="427">
        <f ca="1"/>
        <v>288.75</v>
      </c>
    </row>
    <row r="149" spans="2:3" x14ac:dyDescent="0.25">
      <c r="B149" vm="231">
        <f ca="1"/>
        <v>45461</v>
      </c>
      <c r="C149" vm="428">
        <f ca="1"/>
        <v>290.39999999999998</v>
      </c>
    </row>
    <row r="150" spans="2:3" x14ac:dyDescent="0.25">
      <c r="B150" vm="233">
        <f ca="1"/>
        <v>45462</v>
      </c>
      <c r="C150" vm="429">
        <f ca="1"/>
        <v>289.60000000000002</v>
      </c>
    </row>
    <row r="151" spans="2:3" x14ac:dyDescent="0.25">
      <c r="B151" vm="235">
        <f ca="1"/>
        <v>45463</v>
      </c>
      <c r="C151" vm="430">
        <f ca="1"/>
        <v>292.95</v>
      </c>
    </row>
    <row r="152" spans="2:3" x14ac:dyDescent="0.25">
      <c r="B152" vm="237">
        <f ca="1"/>
        <v>45464</v>
      </c>
      <c r="C152" vm="431">
        <f ca="1"/>
        <v>292.89999999999998</v>
      </c>
    </row>
    <row r="153" spans="2:3" x14ac:dyDescent="0.25">
      <c r="B153" vm="239">
        <f ca="1"/>
        <v>45467</v>
      </c>
      <c r="C153" vm="432">
        <f ca="1"/>
        <v>293.95</v>
      </c>
    </row>
    <row r="154" spans="2:3" x14ac:dyDescent="0.25">
      <c r="B154" vm="241">
        <f ca="1"/>
        <v>45468</v>
      </c>
      <c r="C154" vm="433">
        <f ca="1"/>
        <v>296.3</v>
      </c>
    </row>
    <row r="155" spans="2:3" x14ac:dyDescent="0.25">
      <c r="B155" vm="243">
        <f ca="1"/>
        <v>45469</v>
      </c>
      <c r="C155" vm="434">
        <f ca="1"/>
        <v>298.75</v>
      </c>
    </row>
    <row r="156" spans="2:3" x14ac:dyDescent="0.25">
      <c r="B156" vm="245">
        <f ca="1"/>
        <v>45470</v>
      </c>
      <c r="C156" vm="412">
        <f ca="1"/>
        <v>302</v>
      </c>
    </row>
    <row r="157" spans="2:3" x14ac:dyDescent="0.25">
      <c r="B157" vm="247">
        <f ca="1"/>
        <v>45471</v>
      </c>
      <c r="C157" vm="435">
        <f ca="1"/>
        <v>303.95</v>
      </c>
    </row>
    <row r="158" spans="2:3" x14ac:dyDescent="0.25">
      <c r="B158" vm="249">
        <f ca="1"/>
        <v>45474</v>
      </c>
      <c r="C158" vm="401">
        <f ca="1"/>
        <v>305.5</v>
      </c>
    </row>
    <row r="159" spans="2:3" x14ac:dyDescent="0.25">
      <c r="B159" vm="251">
        <f ca="1"/>
        <v>45475</v>
      </c>
      <c r="C159" vm="330">
        <f ca="1"/>
        <v>306.25</v>
      </c>
    </row>
    <row r="160" spans="2:3" x14ac:dyDescent="0.25">
      <c r="B160" vm="253">
        <f ca="1"/>
        <v>45476</v>
      </c>
      <c r="C160" vm="436">
        <f ca="1"/>
        <v>305.75</v>
      </c>
    </row>
    <row r="161" spans="2:3" x14ac:dyDescent="0.25">
      <c r="B161" vm="255">
        <f ca="1"/>
        <v>45477</v>
      </c>
      <c r="C161" vm="437">
        <f ca="1"/>
        <v>306.39999999999998</v>
      </c>
    </row>
    <row r="162" spans="2:3" x14ac:dyDescent="0.25">
      <c r="B162" vm="257">
        <f ca="1"/>
        <v>45478</v>
      </c>
      <c r="C162" vm="438">
        <f ca="1"/>
        <v>303.2</v>
      </c>
    </row>
    <row r="163" spans="2:3" x14ac:dyDescent="0.25">
      <c r="B163" vm="259">
        <f ca="1"/>
        <v>45481</v>
      </c>
      <c r="C163" vm="439">
        <f ca="1"/>
        <v>294.5</v>
      </c>
    </row>
    <row r="164" spans="2:3" x14ac:dyDescent="0.25">
      <c r="B164" vm="261">
        <f ca="1"/>
        <v>45482</v>
      </c>
      <c r="C164" vm="440">
        <f ca="1"/>
        <v>291.75</v>
      </c>
    </row>
    <row r="165" spans="2:3" x14ac:dyDescent="0.25">
      <c r="B165" vm="263">
        <f ca="1"/>
        <v>45483</v>
      </c>
      <c r="C165" vm="441">
        <f ca="1"/>
        <v>288.35000000000002</v>
      </c>
    </row>
    <row r="166" spans="2:3" x14ac:dyDescent="0.25">
      <c r="B166" vm="265">
        <f ca="1"/>
        <v>45484</v>
      </c>
      <c r="C166" vm="442">
        <f ca="1"/>
        <v>287.85000000000002</v>
      </c>
    </row>
    <row r="167" spans="2:3" x14ac:dyDescent="0.25">
      <c r="B167" vm="267">
        <f ca="1"/>
        <v>45485</v>
      </c>
      <c r="C167" vm="443">
        <f ca="1"/>
        <v>290.35000000000002</v>
      </c>
    </row>
    <row r="168" spans="2:3" x14ac:dyDescent="0.25">
      <c r="B168" vm="269">
        <f ca="1"/>
        <v>45488</v>
      </c>
      <c r="C168" vm="444">
        <f ca="1"/>
        <v>290.5</v>
      </c>
    </row>
    <row r="169" spans="2:3" x14ac:dyDescent="0.25">
      <c r="B169" vm="271">
        <f ca="1"/>
        <v>45489</v>
      </c>
      <c r="C169" vm="445">
        <f ca="1"/>
        <v>287.95</v>
      </c>
    </row>
    <row r="170" spans="2:3" x14ac:dyDescent="0.25">
      <c r="B170" vm="273">
        <f ca="1"/>
        <v>45490</v>
      </c>
      <c r="C170" vm="446">
        <f ca="1"/>
        <v>292.39999999999998</v>
      </c>
    </row>
    <row r="171" spans="2:3" x14ac:dyDescent="0.25">
      <c r="B171" vm="275">
        <f ca="1"/>
        <v>45491</v>
      </c>
      <c r="C171" vm="447">
        <f ca="1"/>
        <v>296.95</v>
      </c>
    </row>
    <row r="172" spans="2:3" x14ac:dyDescent="0.25">
      <c r="B172" vm="277">
        <f ca="1"/>
        <v>45492</v>
      </c>
      <c r="C172" vm="448">
        <f ca="1"/>
        <v>294.14999999999998</v>
      </c>
    </row>
    <row r="173" spans="2:3" x14ac:dyDescent="0.25">
      <c r="B173" vm="279">
        <f ca="1"/>
        <v>45495</v>
      </c>
      <c r="C173" vm="449">
        <f ca="1"/>
        <v>291.95</v>
      </c>
    </row>
    <row r="174" spans="2:3" x14ac:dyDescent="0.25">
      <c r="B174" vm="281">
        <f ca="1"/>
        <v>45496</v>
      </c>
      <c r="C174" vm="427">
        <f ca="1"/>
        <v>288.75</v>
      </c>
    </row>
    <row r="175" spans="2:3" x14ac:dyDescent="0.25">
      <c r="B175" vm="283">
        <f ca="1"/>
        <v>45497</v>
      </c>
      <c r="C175" vm="450">
        <f ca="1"/>
        <v>288</v>
      </c>
    </row>
    <row r="176" spans="2:3" x14ac:dyDescent="0.25">
      <c r="B176" vm="285">
        <f ca="1"/>
        <v>45498</v>
      </c>
      <c r="C176" vm="451">
        <f ca="1"/>
        <v>284.39999999999998</v>
      </c>
    </row>
    <row r="177" spans="2:3" x14ac:dyDescent="0.25">
      <c r="B177" vm="287">
        <f ca="1"/>
        <v>45499</v>
      </c>
      <c r="C177" vm="452">
        <f ca="1"/>
        <v>284.75</v>
      </c>
    </row>
    <row r="178" spans="2:3" x14ac:dyDescent="0.25">
      <c r="B178" vm="289">
        <f ca="1"/>
        <v>45502</v>
      </c>
      <c r="C178" vm="453">
        <f ca="1"/>
        <v>286</v>
      </c>
    </row>
    <row r="179" spans="2:3" x14ac:dyDescent="0.25">
      <c r="B179" vm="291">
        <f ca="1"/>
        <v>45503</v>
      </c>
      <c r="C179" vm="454">
        <f ca="1"/>
        <v>282.5</v>
      </c>
    </row>
    <row r="180" spans="2:3" x14ac:dyDescent="0.25">
      <c r="B180" vm="293">
        <f ca="1"/>
        <v>45504</v>
      </c>
      <c r="C180" vm="455">
        <f ca="1"/>
        <v>290</v>
      </c>
    </row>
    <row r="181" spans="2:3" x14ac:dyDescent="0.25">
      <c r="B181" vm="295">
        <f ca="1"/>
        <v>45505</v>
      </c>
      <c r="C181" vm="456">
        <f ca="1"/>
        <v>290.14999999999998</v>
      </c>
    </row>
    <row r="182" spans="2:3" x14ac:dyDescent="0.25">
      <c r="B182" vm="297">
        <f ca="1"/>
        <v>45506</v>
      </c>
      <c r="C182" vm="457">
        <f ca="1"/>
        <v>285</v>
      </c>
    </row>
    <row r="183" spans="2:3" x14ac:dyDescent="0.25">
      <c r="B183" vm="299">
        <f ca="1"/>
        <v>45509</v>
      </c>
      <c r="C183" vm="458">
        <f ca="1"/>
        <v>276.95</v>
      </c>
    </row>
    <row r="184" spans="2:3" x14ac:dyDescent="0.25">
      <c r="B184" vm="301">
        <f ca="1"/>
        <v>45510</v>
      </c>
      <c r="C184" vm="459">
        <f ca="1"/>
        <v>278.5</v>
      </c>
    </row>
    <row r="185" spans="2:3" x14ac:dyDescent="0.25">
      <c r="B185" vm="303">
        <f ca="1"/>
        <v>45511</v>
      </c>
      <c r="C185" vm="460">
        <f ca="1"/>
        <v>284.3</v>
      </c>
    </row>
    <row r="186" spans="2:3" x14ac:dyDescent="0.25">
      <c r="B186" vm="305">
        <f ca="1"/>
        <v>45512</v>
      </c>
      <c r="C186" vm="461">
        <f ca="1"/>
        <v>292</v>
      </c>
    </row>
    <row r="187" spans="2:3" x14ac:dyDescent="0.25">
      <c r="B187" vm="307">
        <f ca="1"/>
        <v>45513</v>
      </c>
      <c r="C187" vm="462">
        <f ca="1"/>
        <v>294.60000000000002</v>
      </c>
    </row>
    <row r="188" spans="2:3" x14ac:dyDescent="0.25">
      <c r="B188" vm="309">
        <f ca="1"/>
        <v>45516</v>
      </c>
      <c r="C188" vm="463">
        <f ca="1"/>
        <v>304</v>
      </c>
    </row>
    <row r="189" spans="2:3" x14ac:dyDescent="0.25">
      <c r="B189" vm="311">
        <f ca="1"/>
        <v>45517</v>
      </c>
      <c r="C189" vm="447">
        <f ca="1"/>
        <v>296.95</v>
      </c>
    </row>
    <row r="190" spans="2:3" x14ac:dyDescent="0.25">
      <c r="B190" vm="313">
        <f ca="1"/>
        <v>45518</v>
      </c>
      <c r="C190" vm="383">
        <f ca="1"/>
        <v>296.10000000000002</v>
      </c>
    </row>
    <row r="191" spans="2:3" x14ac:dyDescent="0.25">
      <c r="B191" vm="315">
        <f ca="1"/>
        <v>45519</v>
      </c>
      <c r="C191" vm="464">
        <f ca="1"/>
        <v>297.14999999999998</v>
      </c>
    </row>
    <row r="192" spans="2:3" x14ac:dyDescent="0.25">
      <c r="B192" vm="317">
        <f ca="1"/>
        <v>45520</v>
      </c>
      <c r="C192" vm="465">
        <f ca="1"/>
        <v>290.45</v>
      </c>
    </row>
  </sheetData>
  <mergeCells count="4">
    <mergeCell ref="B2:C2"/>
    <mergeCell ref="B24:C24"/>
    <mergeCell ref="B33:C33"/>
    <mergeCell ref="B34:C34"/>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6A12B-2500-440D-9D26-9141B8E5BF7B}">
  <sheetPr codeName="Sheet14">
    <tabColor theme="9" tint="0.59999389629810485"/>
  </sheetPr>
  <dimension ref="B2:D192"/>
  <sheetViews>
    <sheetView showGridLines="0" topLeftCell="A16" workbookViewId="0">
      <selection activeCell="C27" sqref="C27"/>
    </sheetView>
  </sheetViews>
  <sheetFormatPr defaultRowHeight="15" x14ac:dyDescent="0.25"/>
  <cols>
    <col min="2" max="2" width="12.7109375" customWidth="1"/>
    <col min="3" max="3" width="16.140625" customWidth="1"/>
    <col min="4" max="4" width="10.140625" bestFit="1" customWidth="1"/>
    <col min="14" max="14" width="10.140625" bestFit="1" customWidth="1"/>
  </cols>
  <sheetData>
    <row r="2" spans="2:4" x14ac:dyDescent="0.25">
      <c r="B2" s="6" t="s">
        <v>18</v>
      </c>
      <c r="C2" s="6"/>
      <c r="D2" s="3"/>
    </row>
    <row r="24" spans="2:4" x14ac:dyDescent="0.25">
      <c r="B24" s="6" t="s">
        <v>19</v>
      </c>
      <c r="C24" s="6"/>
      <c r="D24" s="3"/>
    </row>
    <row r="25" spans="2:4" x14ac:dyDescent="0.25">
      <c r="B25" s="5" t="s">
        <v>20</v>
      </c>
      <c r="C25" s="4" t="s">
        <v>21</v>
      </c>
    </row>
    <row r="26" spans="2:4" x14ac:dyDescent="0.25">
      <c r="B26" s="5" t="s">
        <v>22</v>
      </c>
      <c r="C26" s="4" t="s">
        <v>23</v>
      </c>
    </row>
    <row r="27" spans="2:4" x14ac:dyDescent="0.25">
      <c r="B27" t="s">
        <v>2</v>
      </c>
      <c r="C27" t="e" vm="466">
        <v>#VALUE!</v>
      </c>
    </row>
    <row r="33" spans="2:3" x14ac:dyDescent="0.25">
      <c r="B33" s="6" t="s">
        <v>28</v>
      </c>
      <c r="C33" s="6"/>
    </row>
    <row r="34" spans="2:3" x14ac:dyDescent="0.25">
      <c r="B34" s="8" t="s">
        <v>29</v>
      </c>
      <c r="C34" s="8"/>
    </row>
    <row r="35" spans="2:3" x14ac:dyDescent="0.25">
      <c r="B35" cm="1" vm="2">
        <f t="array" aca="1" ref="B35:C192" ca="1">_xlfn.STOCKHISTORY(C27,DATE(2023,12,29),TODAY(),0,0,0,1)</f>
        <v>45289</v>
      </c>
      <c r="C35" vm="467">
        <f ca="1"/>
        <v>84.7</v>
      </c>
    </row>
    <row r="36" spans="2:3" x14ac:dyDescent="0.25">
      <c r="B36" vm="4">
        <f ca="1"/>
        <v>45293</v>
      </c>
      <c r="C36" vm="468">
        <f ca="1"/>
        <v>80.2</v>
      </c>
    </row>
    <row r="37" spans="2:3" x14ac:dyDescent="0.25">
      <c r="B37" vm="7">
        <f ca="1"/>
        <v>45294</v>
      </c>
      <c r="C37" vm="469">
        <f ca="1"/>
        <v>78.349999999999994</v>
      </c>
    </row>
    <row r="38" spans="2:3" x14ac:dyDescent="0.25">
      <c r="B38" vm="9">
        <f ca="1"/>
        <v>45295</v>
      </c>
      <c r="C38" vm="470">
        <f ca="1"/>
        <v>79.7</v>
      </c>
    </row>
    <row r="39" spans="2:3" x14ac:dyDescent="0.25">
      <c r="B39" vm="11">
        <f ca="1"/>
        <v>45296</v>
      </c>
      <c r="C39" vm="471">
        <f ca="1"/>
        <v>78.3</v>
      </c>
    </row>
    <row r="40" spans="2:3" x14ac:dyDescent="0.25">
      <c r="B40" vm="13">
        <f ca="1"/>
        <v>45299</v>
      </c>
      <c r="C40" vm="472">
        <f ca="1"/>
        <v>78.599999999999994</v>
      </c>
    </row>
    <row r="41" spans="2:3" x14ac:dyDescent="0.25">
      <c r="B41" vm="15">
        <f ca="1"/>
        <v>45300</v>
      </c>
      <c r="C41" vm="473">
        <f ca="1"/>
        <v>78.95</v>
      </c>
    </row>
    <row r="42" spans="2:3" x14ac:dyDescent="0.25">
      <c r="B42" vm="17">
        <f ca="1"/>
        <v>45301</v>
      </c>
      <c r="C42" vm="474">
        <f ca="1"/>
        <v>82</v>
      </c>
    </row>
    <row r="43" spans="2:3" x14ac:dyDescent="0.25">
      <c r="B43" vm="19">
        <f ca="1"/>
        <v>45302</v>
      </c>
      <c r="C43" vm="475">
        <f ca="1"/>
        <v>82.35</v>
      </c>
    </row>
    <row r="44" spans="2:3" x14ac:dyDescent="0.25">
      <c r="B44" vm="21">
        <f ca="1"/>
        <v>45303</v>
      </c>
      <c r="C44" vm="476">
        <f ca="1"/>
        <v>85.85</v>
      </c>
    </row>
    <row r="45" spans="2:3" x14ac:dyDescent="0.25">
      <c r="B45" vm="23">
        <f ca="1"/>
        <v>45306</v>
      </c>
      <c r="C45" vm="477">
        <f ca="1"/>
        <v>82.2</v>
      </c>
    </row>
    <row r="46" spans="2:3" x14ac:dyDescent="0.25">
      <c r="B46" vm="25">
        <f ca="1"/>
        <v>45307</v>
      </c>
      <c r="C46" vm="478">
        <f ca="1"/>
        <v>84.25</v>
      </c>
    </row>
    <row r="47" spans="2:3" x14ac:dyDescent="0.25">
      <c r="B47" vm="27">
        <f ca="1"/>
        <v>45308</v>
      </c>
      <c r="C47" vm="479">
        <f ca="1"/>
        <v>82.25</v>
      </c>
    </row>
    <row r="48" spans="2:3" x14ac:dyDescent="0.25">
      <c r="B48" vm="29">
        <f ca="1"/>
        <v>45309</v>
      </c>
      <c r="C48" vm="480">
        <f ca="1"/>
        <v>88.7</v>
      </c>
    </row>
    <row r="49" spans="2:3" x14ac:dyDescent="0.25">
      <c r="B49" vm="31">
        <f ca="1"/>
        <v>45310</v>
      </c>
      <c r="C49" vm="481">
        <f ca="1"/>
        <v>89.5</v>
      </c>
    </row>
    <row r="50" spans="2:3" x14ac:dyDescent="0.25">
      <c r="B50" vm="33">
        <f ca="1"/>
        <v>45313</v>
      </c>
      <c r="C50" vm="482">
        <f ca="1"/>
        <v>88.95</v>
      </c>
    </row>
    <row r="51" spans="2:3" x14ac:dyDescent="0.25">
      <c r="B51" vm="35">
        <f ca="1"/>
        <v>45314</v>
      </c>
      <c r="C51" vm="483">
        <f ca="1"/>
        <v>93</v>
      </c>
    </row>
    <row r="52" spans="2:3" x14ac:dyDescent="0.25">
      <c r="B52" vm="37">
        <f ca="1"/>
        <v>45315</v>
      </c>
      <c r="C52" vm="484">
        <f ca="1"/>
        <v>94</v>
      </c>
    </row>
    <row r="53" spans="2:3" x14ac:dyDescent="0.25">
      <c r="B53" vm="39">
        <f ca="1"/>
        <v>45316</v>
      </c>
      <c r="C53" vm="485">
        <f ca="1"/>
        <v>89.1</v>
      </c>
    </row>
    <row r="54" spans="2:3" x14ac:dyDescent="0.25">
      <c r="B54" vm="41">
        <f ca="1"/>
        <v>45317</v>
      </c>
      <c r="C54" vm="486">
        <f ca="1"/>
        <v>88.85</v>
      </c>
    </row>
    <row r="55" spans="2:3" x14ac:dyDescent="0.25">
      <c r="B55" vm="43">
        <f ca="1"/>
        <v>45320</v>
      </c>
      <c r="C55" vm="487">
        <f ca="1"/>
        <v>87.9</v>
      </c>
    </row>
    <row r="56" spans="2:3" x14ac:dyDescent="0.25">
      <c r="B56" vm="45">
        <f ca="1"/>
        <v>45321</v>
      </c>
      <c r="C56" vm="488">
        <f ca="1"/>
        <v>85.6</v>
      </c>
    </row>
    <row r="57" spans="2:3" x14ac:dyDescent="0.25">
      <c r="B57" vm="47">
        <f ca="1"/>
        <v>45322</v>
      </c>
      <c r="C57" vm="489">
        <f ca="1"/>
        <v>89</v>
      </c>
    </row>
    <row r="58" spans="2:3" x14ac:dyDescent="0.25">
      <c r="B58" vm="49">
        <f ca="1"/>
        <v>45323</v>
      </c>
      <c r="C58" vm="490">
        <f ca="1"/>
        <v>87.3</v>
      </c>
    </row>
    <row r="59" spans="2:3" x14ac:dyDescent="0.25">
      <c r="B59" vm="51">
        <f ca="1"/>
        <v>45324</v>
      </c>
      <c r="C59" vm="491">
        <f ca="1"/>
        <v>86.8</v>
      </c>
    </row>
    <row r="60" spans="2:3" x14ac:dyDescent="0.25">
      <c r="B60" vm="53">
        <f ca="1"/>
        <v>45327</v>
      </c>
      <c r="C60" vm="492">
        <f ca="1"/>
        <v>85.4</v>
      </c>
    </row>
    <row r="61" spans="2:3" x14ac:dyDescent="0.25">
      <c r="B61" vm="55">
        <f ca="1"/>
        <v>45328</v>
      </c>
      <c r="C61" vm="493">
        <f ca="1"/>
        <v>86.6</v>
      </c>
    </row>
    <row r="62" spans="2:3" x14ac:dyDescent="0.25">
      <c r="B62" vm="57">
        <f ca="1"/>
        <v>45329</v>
      </c>
      <c r="C62" vm="494">
        <f ca="1"/>
        <v>86.1</v>
      </c>
    </row>
    <row r="63" spans="2:3" x14ac:dyDescent="0.25">
      <c r="B63" vm="59">
        <f ca="1"/>
        <v>45330</v>
      </c>
      <c r="C63" vm="495">
        <f ca="1"/>
        <v>85.95</v>
      </c>
    </row>
    <row r="64" spans="2:3" x14ac:dyDescent="0.25">
      <c r="B64" vm="61">
        <f ca="1"/>
        <v>45331</v>
      </c>
      <c r="C64" vm="496">
        <f ca="1"/>
        <v>91.6</v>
      </c>
    </row>
    <row r="65" spans="2:3" x14ac:dyDescent="0.25">
      <c r="B65" vm="63">
        <f ca="1"/>
        <v>45334</v>
      </c>
      <c r="C65" vm="483">
        <f ca="1"/>
        <v>93</v>
      </c>
    </row>
    <row r="66" spans="2:3" x14ac:dyDescent="0.25">
      <c r="B66" vm="65">
        <f ca="1"/>
        <v>45335</v>
      </c>
      <c r="C66" vm="497">
        <f ca="1"/>
        <v>90.55</v>
      </c>
    </row>
    <row r="67" spans="2:3" x14ac:dyDescent="0.25">
      <c r="B67" vm="67">
        <f ca="1"/>
        <v>45336</v>
      </c>
      <c r="C67" vm="498">
        <f ca="1"/>
        <v>84.2</v>
      </c>
    </row>
    <row r="68" spans="2:3" x14ac:dyDescent="0.25">
      <c r="B68" vm="69">
        <f ca="1"/>
        <v>45337</v>
      </c>
      <c r="C68" vm="499">
        <f ca="1"/>
        <v>82.45</v>
      </c>
    </row>
    <row r="69" spans="2:3" x14ac:dyDescent="0.25">
      <c r="B69" vm="71">
        <f ca="1"/>
        <v>45338</v>
      </c>
      <c r="C69" vm="500">
        <f ca="1"/>
        <v>83.3</v>
      </c>
    </row>
    <row r="70" spans="2:3" x14ac:dyDescent="0.25">
      <c r="B70" vm="73">
        <f ca="1"/>
        <v>45341</v>
      </c>
      <c r="C70" vm="501">
        <f ca="1"/>
        <v>82.9</v>
      </c>
    </row>
    <row r="71" spans="2:3" x14ac:dyDescent="0.25">
      <c r="B71" vm="75">
        <f ca="1"/>
        <v>45342</v>
      </c>
      <c r="C71" vm="502">
        <f ca="1"/>
        <v>77.400000000000006</v>
      </c>
    </row>
    <row r="72" spans="2:3" x14ac:dyDescent="0.25">
      <c r="B72" vm="77">
        <f ca="1"/>
        <v>45343</v>
      </c>
      <c r="C72" vm="503">
        <f ca="1"/>
        <v>76.8</v>
      </c>
    </row>
    <row r="73" spans="2:3" x14ac:dyDescent="0.25">
      <c r="B73" vm="79">
        <f ca="1"/>
        <v>45344</v>
      </c>
      <c r="C73" vm="504">
        <f ca="1"/>
        <v>79.75</v>
      </c>
    </row>
    <row r="74" spans="2:3" x14ac:dyDescent="0.25">
      <c r="B74" vm="81">
        <f ca="1"/>
        <v>45345</v>
      </c>
      <c r="C74" vm="505">
        <f ca="1"/>
        <v>80.650000000000006</v>
      </c>
    </row>
    <row r="75" spans="2:3" x14ac:dyDescent="0.25">
      <c r="B75" vm="83">
        <f ca="1"/>
        <v>45348</v>
      </c>
      <c r="C75" vm="506">
        <f ca="1"/>
        <v>81.8</v>
      </c>
    </row>
    <row r="76" spans="2:3" x14ac:dyDescent="0.25">
      <c r="B76" vm="85">
        <f ca="1"/>
        <v>45349</v>
      </c>
      <c r="C76" vm="507">
        <f ca="1"/>
        <v>79.849999999999994</v>
      </c>
    </row>
    <row r="77" spans="2:3" x14ac:dyDescent="0.25">
      <c r="B77" vm="87">
        <f ca="1"/>
        <v>45350</v>
      </c>
      <c r="C77" vm="508">
        <f ca="1"/>
        <v>77</v>
      </c>
    </row>
    <row r="78" spans="2:3" x14ac:dyDescent="0.25">
      <c r="B78" vm="89">
        <f ca="1"/>
        <v>45351</v>
      </c>
      <c r="C78" vm="508">
        <f ca="1"/>
        <v>77</v>
      </c>
    </row>
    <row r="79" spans="2:3" x14ac:dyDescent="0.25">
      <c r="B79" vm="91">
        <f ca="1"/>
        <v>45352</v>
      </c>
      <c r="C79" vm="509">
        <f ca="1"/>
        <v>75.45</v>
      </c>
    </row>
    <row r="80" spans="2:3" x14ac:dyDescent="0.25">
      <c r="B80" vm="93">
        <f ca="1"/>
        <v>45355</v>
      </c>
      <c r="C80" vm="510">
        <f ca="1"/>
        <v>75</v>
      </c>
    </row>
    <row r="81" spans="2:3" x14ac:dyDescent="0.25">
      <c r="B81" vm="95">
        <f ca="1"/>
        <v>45356</v>
      </c>
      <c r="C81" vm="511">
        <f ca="1"/>
        <v>74.05</v>
      </c>
    </row>
    <row r="82" spans="2:3" x14ac:dyDescent="0.25">
      <c r="B82" vm="97">
        <f ca="1"/>
        <v>45357</v>
      </c>
      <c r="C82" vm="512">
        <f ca="1"/>
        <v>74.3</v>
      </c>
    </row>
    <row r="83" spans="2:3" x14ac:dyDescent="0.25">
      <c r="B83" vm="99">
        <f ca="1"/>
        <v>45358</v>
      </c>
      <c r="C83" vm="510">
        <f ca="1"/>
        <v>75</v>
      </c>
    </row>
    <row r="84" spans="2:3" x14ac:dyDescent="0.25">
      <c r="B84" vm="101">
        <f ca="1"/>
        <v>45359</v>
      </c>
      <c r="C84" vm="513">
        <f ca="1"/>
        <v>73.5</v>
      </c>
    </row>
    <row r="85" spans="2:3" x14ac:dyDescent="0.25">
      <c r="B85" vm="103">
        <f ca="1"/>
        <v>45362</v>
      </c>
      <c r="C85" vm="514">
        <f ca="1"/>
        <v>72.7</v>
      </c>
    </row>
    <row r="86" spans="2:3" x14ac:dyDescent="0.25">
      <c r="B86" vm="105">
        <f ca="1"/>
        <v>45363</v>
      </c>
      <c r="C86" vm="515">
        <f ca="1"/>
        <v>74.75</v>
      </c>
    </row>
    <row r="87" spans="2:3" x14ac:dyDescent="0.25">
      <c r="B87" vm="107">
        <f ca="1"/>
        <v>45364</v>
      </c>
      <c r="C87" vm="516">
        <f ca="1"/>
        <v>75.7</v>
      </c>
    </row>
    <row r="88" spans="2:3" x14ac:dyDescent="0.25">
      <c r="B88" vm="109">
        <f ca="1"/>
        <v>45365</v>
      </c>
      <c r="C88" vm="517">
        <f ca="1"/>
        <v>77.5</v>
      </c>
    </row>
    <row r="89" spans="2:3" x14ac:dyDescent="0.25">
      <c r="B89" vm="111">
        <f ca="1"/>
        <v>45366</v>
      </c>
      <c r="C89" vm="518">
        <f ca="1"/>
        <v>76.900000000000006</v>
      </c>
    </row>
    <row r="90" spans="2:3" x14ac:dyDescent="0.25">
      <c r="B90" vm="113">
        <f ca="1"/>
        <v>45369</v>
      </c>
      <c r="C90" vm="519">
        <f ca="1"/>
        <v>75.8</v>
      </c>
    </row>
    <row r="91" spans="2:3" x14ac:dyDescent="0.25">
      <c r="B91" vm="115">
        <f ca="1"/>
        <v>45370</v>
      </c>
      <c r="C91" vm="520">
        <f ca="1"/>
        <v>76.7</v>
      </c>
    </row>
    <row r="92" spans="2:3" x14ac:dyDescent="0.25">
      <c r="B92" vm="117">
        <f ca="1"/>
        <v>45371</v>
      </c>
      <c r="C92" vm="521">
        <f ca="1"/>
        <v>76.25</v>
      </c>
    </row>
    <row r="93" spans="2:3" x14ac:dyDescent="0.25">
      <c r="B93" vm="119">
        <f ca="1"/>
        <v>45372</v>
      </c>
      <c r="C93" vm="522">
        <f ca="1"/>
        <v>76.5</v>
      </c>
    </row>
    <row r="94" spans="2:3" x14ac:dyDescent="0.25">
      <c r="B94" vm="121">
        <f ca="1"/>
        <v>45373</v>
      </c>
      <c r="C94" vm="523">
        <f ca="1"/>
        <v>77.150000000000006</v>
      </c>
    </row>
    <row r="95" spans="2:3" x14ac:dyDescent="0.25">
      <c r="B95" vm="123">
        <f ca="1"/>
        <v>45376</v>
      </c>
      <c r="C95" vm="524">
        <f ca="1"/>
        <v>79.150000000000006</v>
      </c>
    </row>
    <row r="96" spans="2:3" x14ac:dyDescent="0.25">
      <c r="B96" vm="125">
        <f ca="1"/>
        <v>45377</v>
      </c>
      <c r="C96" vm="525">
        <f ca="1"/>
        <v>80.099999999999994</v>
      </c>
    </row>
    <row r="97" spans="2:3" x14ac:dyDescent="0.25">
      <c r="B97" vm="127">
        <f ca="1"/>
        <v>45378</v>
      </c>
      <c r="C97" vm="526">
        <f ca="1"/>
        <v>79.900000000000006</v>
      </c>
    </row>
    <row r="98" spans="2:3" x14ac:dyDescent="0.25">
      <c r="B98" vm="129">
        <f ca="1"/>
        <v>45384</v>
      </c>
      <c r="C98" vm="527">
        <f ca="1"/>
        <v>78</v>
      </c>
    </row>
    <row r="99" spans="2:3" x14ac:dyDescent="0.25">
      <c r="B99" vm="131">
        <f ca="1"/>
        <v>45385</v>
      </c>
      <c r="C99" vm="528">
        <f ca="1"/>
        <v>76.45</v>
      </c>
    </row>
    <row r="100" spans="2:3" x14ac:dyDescent="0.25">
      <c r="B100" vm="133">
        <f ca="1"/>
        <v>45386</v>
      </c>
      <c r="C100" vm="522">
        <f ca="1"/>
        <v>76.5</v>
      </c>
    </row>
    <row r="101" spans="2:3" x14ac:dyDescent="0.25">
      <c r="B101" vm="135">
        <f ca="1"/>
        <v>45387</v>
      </c>
      <c r="C101" vm="529">
        <f ca="1"/>
        <v>72.900000000000006</v>
      </c>
    </row>
    <row r="102" spans="2:3" x14ac:dyDescent="0.25">
      <c r="B102" vm="137">
        <f ca="1"/>
        <v>45390</v>
      </c>
      <c r="C102" vm="530">
        <f ca="1"/>
        <v>72.55</v>
      </c>
    </row>
    <row r="103" spans="2:3" x14ac:dyDescent="0.25">
      <c r="B103" vm="139">
        <f ca="1"/>
        <v>45391</v>
      </c>
      <c r="C103" vm="531">
        <f ca="1"/>
        <v>72.95</v>
      </c>
    </row>
    <row r="104" spans="2:3" x14ac:dyDescent="0.25">
      <c r="B104" vm="141">
        <f ca="1"/>
        <v>45392</v>
      </c>
      <c r="C104" vm="532">
        <f ca="1"/>
        <v>71.75</v>
      </c>
    </row>
    <row r="105" spans="2:3" x14ac:dyDescent="0.25">
      <c r="B105" vm="143">
        <f ca="1"/>
        <v>45393</v>
      </c>
      <c r="C105" vm="533">
        <f ca="1"/>
        <v>71.45</v>
      </c>
    </row>
    <row r="106" spans="2:3" x14ac:dyDescent="0.25">
      <c r="B106" vm="145">
        <f ca="1"/>
        <v>45394</v>
      </c>
      <c r="C106" vm="534">
        <f ca="1"/>
        <v>72.599999999999994</v>
      </c>
    </row>
    <row r="107" spans="2:3" x14ac:dyDescent="0.25">
      <c r="B107" vm="147">
        <f ca="1"/>
        <v>45397</v>
      </c>
      <c r="C107" vm="535">
        <f ca="1"/>
        <v>69.45</v>
      </c>
    </row>
    <row r="108" spans="2:3" x14ac:dyDescent="0.25">
      <c r="B108" vm="149">
        <f ca="1"/>
        <v>45398</v>
      </c>
      <c r="C108" vm="536">
        <f ca="1"/>
        <v>69.2</v>
      </c>
    </row>
    <row r="109" spans="2:3" x14ac:dyDescent="0.25">
      <c r="B109" vm="151">
        <f ca="1"/>
        <v>45399</v>
      </c>
      <c r="C109" vm="537">
        <f ca="1"/>
        <v>73.099999999999994</v>
      </c>
    </row>
    <row r="110" spans="2:3" x14ac:dyDescent="0.25">
      <c r="B110" vm="153">
        <f ca="1"/>
        <v>45400</v>
      </c>
      <c r="C110" vm="538">
        <f ca="1"/>
        <v>72.349999999999994</v>
      </c>
    </row>
    <row r="111" spans="2:3" x14ac:dyDescent="0.25">
      <c r="B111" vm="155">
        <f ca="1"/>
        <v>45401</v>
      </c>
      <c r="C111" vm="539">
        <f ca="1"/>
        <v>70.849999999999994</v>
      </c>
    </row>
    <row r="112" spans="2:3" x14ac:dyDescent="0.25">
      <c r="B112" vm="157">
        <f ca="1"/>
        <v>45404</v>
      </c>
      <c r="C112" vm="540">
        <f ca="1"/>
        <v>73.3</v>
      </c>
    </row>
    <row r="113" spans="2:3" x14ac:dyDescent="0.25">
      <c r="B113" vm="159">
        <f ca="1"/>
        <v>45405</v>
      </c>
      <c r="C113" vm="541">
        <f ca="1"/>
        <v>74.8</v>
      </c>
    </row>
    <row r="114" spans="2:3" x14ac:dyDescent="0.25">
      <c r="B114" vm="161">
        <f ca="1"/>
        <v>45406</v>
      </c>
      <c r="C114" vm="542">
        <f ca="1"/>
        <v>78.5</v>
      </c>
    </row>
    <row r="115" spans="2:3" x14ac:dyDescent="0.25">
      <c r="B115" vm="163">
        <f ca="1"/>
        <v>45407</v>
      </c>
      <c r="C115" vm="527">
        <f ca="1"/>
        <v>78</v>
      </c>
    </row>
    <row r="116" spans="2:3" x14ac:dyDescent="0.25">
      <c r="B116" vm="165">
        <f ca="1"/>
        <v>45408</v>
      </c>
      <c r="C116" vm="543">
        <f ca="1"/>
        <v>81</v>
      </c>
    </row>
    <row r="117" spans="2:3" x14ac:dyDescent="0.25">
      <c r="B117" vm="167">
        <f ca="1"/>
        <v>45411</v>
      </c>
      <c r="C117" vm="474">
        <f ca="1"/>
        <v>82</v>
      </c>
    </row>
    <row r="118" spans="2:3" x14ac:dyDescent="0.25">
      <c r="B118" vm="169">
        <f ca="1"/>
        <v>45412</v>
      </c>
      <c r="C118" vm="544">
        <f ca="1"/>
        <v>82.55</v>
      </c>
    </row>
    <row r="119" spans="2:3" x14ac:dyDescent="0.25">
      <c r="B119" vm="171">
        <f ca="1"/>
        <v>45414</v>
      </c>
      <c r="C119" vm="545">
        <f ca="1"/>
        <v>85.5</v>
      </c>
    </row>
    <row r="120" spans="2:3" x14ac:dyDescent="0.25">
      <c r="B120" vm="173">
        <f ca="1"/>
        <v>45415</v>
      </c>
      <c r="C120" vm="499">
        <f ca="1"/>
        <v>82.45</v>
      </c>
    </row>
    <row r="121" spans="2:3" x14ac:dyDescent="0.25">
      <c r="B121" vm="175">
        <f ca="1"/>
        <v>45418</v>
      </c>
      <c r="C121" vm="546">
        <f ca="1"/>
        <v>86.55</v>
      </c>
    </row>
    <row r="122" spans="2:3" x14ac:dyDescent="0.25">
      <c r="B122" vm="177">
        <f ca="1"/>
        <v>45419</v>
      </c>
      <c r="C122" vm="547">
        <f ca="1"/>
        <v>100</v>
      </c>
    </row>
    <row r="123" spans="2:3" x14ac:dyDescent="0.25">
      <c r="B123" vm="179">
        <f ca="1"/>
        <v>45420</v>
      </c>
      <c r="C123" vm="548">
        <f ca="1"/>
        <v>102.9</v>
      </c>
    </row>
    <row r="124" spans="2:3" x14ac:dyDescent="0.25">
      <c r="B124" vm="181">
        <f ca="1"/>
        <v>45422</v>
      </c>
      <c r="C124" vm="549">
        <f ca="1"/>
        <v>103.3</v>
      </c>
    </row>
    <row r="125" spans="2:3" x14ac:dyDescent="0.25">
      <c r="B125" vm="183">
        <f ca="1"/>
        <v>45425</v>
      </c>
      <c r="C125" vm="550">
        <f ca="1"/>
        <v>100.3</v>
      </c>
    </row>
    <row r="126" spans="2:3" x14ac:dyDescent="0.25">
      <c r="B126" vm="185">
        <f ca="1"/>
        <v>45426</v>
      </c>
      <c r="C126" vm="551">
        <f ca="1"/>
        <v>103.5</v>
      </c>
    </row>
    <row r="127" spans="2:3" x14ac:dyDescent="0.25">
      <c r="B127" vm="187">
        <f ca="1"/>
        <v>45427</v>
      </c>
      <c r="C127" vm="552">
        <f ca="1"/>
        <v>104.1</v>
      </c>
    </row>
    <row r="128" spans="2:3" x14ac:dyDescent="0.25">
      <c r="B128" vm="189">
        <f ca="1"/>
        <v>45428</v>
      </c>
      <c r="C128" vm="553">
        <f ca="1"/>
        <v>108.2</v>
      </c>
    </row>
    <row r="129" spans="2:3" x14ac:dyDescent="0.25">
      <c r="B129" vm="191">
        <f ca="1"/>
        <v>45433</v>
      </c>
      <c r="C129" vm="554">
        <f ca="1"/>
        <v>107.3</v>
      </c>
    </row>
    <row r="130" spans="2:3" x14ac:dyDescent="0.25">
      <c r="B130" vm="193">
        <f ca="1"/>
        <v>45434</v>
      </c>
      <c r="C130" vm="555">
        <f ca="1"/>
        <v>107.6</v>
      </c>
    </row>
    <row r="131" spans="2:3" x14ac:dyDescent="0.25">
      <c r="B131" vm="195">
        <f ca="1"/>
        <v>45435</v>
      </c>
      <c r="C131" vm="556">
        <f ca="1"/>
        <v>107.5</v>
      </c>
    </row>
    <row r="132" spans="2:3" x14ac:dyDescent="0.25">
      <c r="B132" vm="197">
        <f ca="1"/>
        <v>45436</v>
      </c>
      <c r="C132" vm="557">
        <f ca="1"/>
        <v>110.8</v>
      </c>
    </row>
    <row r="133" spans="2:3" x14ac:dyDescent="0.25">
      <c r="B133" vm="199">
        <f ca="1"/>
        <v>45439</v>
      </c>
      <c r="C133" vm="558">
        <f ca="1"/>
        <v>108.6</v>
      </c>
    </row>
    <row r="134" spans="2:3" x14ac:dyDescent="0.25">
      <c r="B134" vm="201">
        <f ca="1"/>
        <v>45440</v>
      </c>
      <c r="C134" vm="559">
        <f ca="1"/>
        <v>112.9</v>
      </c>
    </row>
    <row r="135" spans="2:3" x14ac:dyDescent="0.25">
      <c r="B135" vm="203">
        <f ca="1"/>
        <v>45441</v>
      </c>
      <c r="C135" vm="559">
        <f ca="1"/>
        <v>112.9</v>
      </c>
    </row>
    <row r="136" spans="2:3" x14ac:dyDescent="0.25">
      <c r="B136" vm="205">
        <f ca="1"/>
        <v>45442</v>
      </c>
      <c r="C136" vm="560">
        <f ca="1"/>
        <v>110.6</v>
      </c>
    </row>
    <row r="137" spans="2:3" x14ac:dyDescent="0.25">
      <c r="B137" vm="207">
        <f ca="1"/>
        <v>45443</v>
      </c>
      <c r="C137" vm="561">
        <f ca="1"/>
        <v>112.6</v>
      </c>
    </row>
    <row r="138" spans="2:3" x14ac:dyDescent="0.25">
      <c r="B138" vm="209">
        <f ca="1"/>
        <v>45446</v>
      </c>
      <c r="C138" vm="562">
        <f ca="1"/>
        <v>113.2</v>
      </c>
    </row>
    <row r="139" spans="2:3" x14ac:dyDescent="0.25">
      <c r="B139" vm="211">
        <f ca="1"/>
        <v>45447</v>
      </c>
      <c r="C139" vm="563">
        <f ca="1"/>
        <v>109.9</v>
      </c>
    </row>
    <row r="140" spans="2:3" x14ac:dyDescent="0.25">
      <c r="B140" vm="213">
        <f ca="1"/>
        <v>45448</v>
      </c>
      <c r="C140" vm="564">
        <f ca="1"/>
        <v>117.7</v>
      </c>
    </row>
    <row r="141" spans="2:3" x14ac:dyDescent="0.25">
      <c r="B141" vm="215">
        <f ca="1"/>
        <v>45449</v>
      </c>
      <c r="C141" vm="565">
        <f ca="1"/>
        <v>116.7</v>
      </c>
    </row>
    <row r="142" spans="2:3" x14ac:dyDescent="0.25">
      <c r="B142" vm="217">
        <f ca="1"/>
        <v>45450</v>
      </c>
      <c r="C142" vm="566">
        <f ca="1"/>
        <v>116.2</v>
      </c>
    </row>
    <row r="143" spans="2:3" x14ac:dyDescent="0.25">
      <c r="B143" vm="219">
        <f ca="1"/>
        <v>45453</v>
      </c>
      <c r="C143" vm="567">
        <f ca="1"/>
        <v>118.3</v>
      </c>
    </row>
    <row r="144" spans="2:3" x14ac:dyDescent="0.25">
      <c r="B144" vm="221">
        <f ca="1"/>
        <v>45454</v>
      </c>
      <c r="C144" vm="568">
        <f ca="1"/>
        <v>116</v>
      </c>
    </row>
    <row r="145" spans="2:3" x14ac:dyDescent="0.25">
      <c r="B145" vm="223">
        <f ca="1"/>
        <v>45455</v>
      </c>
      <c r="C145" vm="569">
        <f ca="1"/>
        <v>117.5</v>
      </c>
    </row>
    <row r="146" spans="2:3" x14ac:dyDescent="0.25">
      <c r="B146" vm="225">
        <f ca="1"/>
        <v>45456</v>
      </c>
      <c r="C146" vm="570">
        <f ca="1"/>
        <v>115.3</v>
      </c>
    </row>
    <row r="147" spans="2:3" x14ac:dyDescent="0.25">
      <c r="B147" vm="227">
        <f ca="1"/>
        <v>45457</v>
      </c>
      <c r="C147" vm="571">
        <f ca="1"/>
        <v>111.5</v>
      </c>
    </row>
    <row r="148" spans="2:3" x14ac:dyDescent="0.25">
      <c r="B148" vm="229">
        <f ca="1"/>
        <v>45460</v>
      </c>
      <c r="C148" vm="572">
        <f ca="1"/>
        <v>113.8</v>
      </c>
    </row>
    <row r="149" spans="2:3" x14ac:dyDescent="0.25">
      <c r="B149" vm="231">
        <f ca="1"/>
        <v>45461</v>
      </c>
      <c r="C149" vm="573">
        <f ca="1"/>
        <v>116.4</v>
      </c>
    </row>
    <row r="150" spans="2:3" x14ac:dyDescent="0.25">
      <c r="B150" vm="233">
        <f ca="1"/>
        <v>45462</v>
      </c>
      <c r="C150" vm="574">
        <f ca="1"/>
        <v>120.3</v>
      </c>
    </row>
    <row r="151" spans="2:3" x14ac:dyDescent="0.25">
      <c r="B151" vm="235">
        <f ca="1"/>
        <v>45463</v>
      </c>
      <c r="C151" vm="575">
        <f ca="1"/>
        <v>121.4</v>
      </c>
    </row>
    <row r="152" spans="2:3" x14ac:dyDescent="0.25">
      <c r="B152" vm="237">
        <f ca="1"/>
        <v>45464</v>
      </c>
      <c r="C152" vm="576">
        <f ca="1"/>
        <v>122.5</v>
      </c>
    </row>
    <row r="153" spans="2:3" x14ac:dyDescent="0.25">
      <c r="B153" vm="239">
        <f ca="1"/>
        <v>45467</v>
      </c>
      <c r="C153" vm="575">
        <f ca="1"/>
        <v>121.4</v>
      </c>
    </row>
    <row r="154" spans="2:3" x14ac:dyDescent="0.25">
      <c r="B154" vm="241">
        <f ca="1"/>
        <v>45468</v>
      </c>
      <c r="C154" vm="577">
        <f ca="1"/>
        <v>122.2</v>
      </c>
    </row>
    <row r="155" spans="2:3" x14ac:dyDescent="0.25">
      <c r="B155" vm="243">
        <f ca="1"/>
        <v>45469</v>
      </c>
      <c r="C155" vm="578">
        <f ca="1"/>
        <v>121.1</v>
      </c>
    </row>
    <row r="156" spans="2:3" x14ac:dyDescent="0.25">
      <c r="B156" vm="245">
        <f ca="1"/>
        <v>45470</v>
      </c>
      <c r="C156" vm="579">
        <f ca="1"/>
        <v>123.8</v>
      </c>
    </row>
    <row r="157" spans="2:3" x14ac:dyDescent="0.25">
      <c r="B157" vm="247">
        <f ca="1"/>
        <v>45471</v>
      </c>
      <c r="C157" vm="580">
        <f ca="1"/>
        <v>125</v>
      </c>
    </row>
    <row r="158" spans="2:3" x14ac:dyDescent="0.25">
      <c r="B158" vm="249">
        <f ca="1"/>
        <v>45474</v>
      </c>
      <c r="C158" vm="581">
        <f ca="1"/>
        <v>123.5</v>
      </c>
    </row>
    <row r="159" spans="2:3" x14ac:dyDescent="0.25">
      <c r="B159" vm="251">
        <f ca="1"/>
        <v>45475</v>
      </c>
      <c r="C159" vm="582">
        <f ca="1"/>
        <v>124</v>
      </c>
    </row>
    <row r="160" spans="2:3" x14ac:dyDescent="0.25">
      <c r="B160" vm="253">
        <f ca="1"/>
        <v>45476</v>
      </c>
      <c r="C160" vm="583">
        <f ca="1"/>
        <v>127.5</v>
      </c>
    </row>
    <row r="161" spans="2:3" x14ac:dyDescent="0.25">
      <c r="B161" vm="255">
        <f ca="1"/>
        <v>45477</v>
      </c>
      <c r="C161" vm="584">
        <f ca="1"/>
        <v>125.7</v>
      </c>
    </row>
    <row r="162" spans="2:3" x14ac:dyDescent="0.25">
      <c r="B162" vm="257">
        <f ca="1"/>
        <v>45478</v>
      </c>
      <c r="C162" vm="585">
        <f ca="1"/>
        <v>128.5</v>
      </c>
    </row>
    <row r="163" spans="2:3" x14ac:dyDescent="0.25">
      <c r="B163" vm="259">
        <f ca="1"/>
        <v>45481</v>
      </c>
      <c r="C163" vm="586">
        <f ca="1"/>
        <v>127.4</v>
      </c>
    </row>
    <row r="164" spans="2:3" x14ac:dyDescent="0.25">
      <c r="B164" vm="261">
        <f ca="1"/>
        <v>45482</v>
      </c>
      <c r="C164" vm="580">
        <f ca="1"/>
        <v>125</v>
      </c>
    </row>
    <row r="165" spans="2:3" x14ac:dyDescent="0.25">
      <c r="B165" vm="263">
        <f ca="1"/>
        <v>45483</v>
      </c>
      <c r="C165" vm="587">
        <f ca="1"/>
        <v>127.3</v>
      </c>
    </row>
    <row r="166" spans="2:3" x14ac:dyDescent="0.25">
      <c r="B166" vm="265">
        <f ca="1"/>
        <v>45484</v>
      </c>
      <c r="C166" vm="588">
        <f ca="1"/>
        <v>125.1</v>
      </c>
    </row>
    <row r="167" spans="2:3" x14ac:dyDescent="0.25">
      <c r="B167" vm="267">
        <f ca="1"/>
        <v>45485</v>
      </c>
      <c r="C167" vm="589">
        <f ca="1"/>
        <v>126.7</v>
      </c>
    </row>
    <row r="168" spans="2:3" x14ac:dyDescent="0.25">
      <c r="B168" vm="269">
        <f ca="1"/>
        <v>45488</v>
      </c>
      <c r="C168" vm="590">
        <f ca="1"/>
        <v>127.9</v>
      </c>
    </row>
    <row r="169" spans="2:3" x14ac:dyDescent="0.25">
      <c r="B169" vm="271">
        <f ca="1"/>
        <v>45489</v>
      </c>
      <c r="C169" vm="591">
        <f ca="1"/>
        <v>128.9</v>
      </c>
    </row>
    <row r="170" spans="2:3" x14ac:dyDescent="0.25">
      <c r="B170" vm="273">
        <f ca="1"/>
        <v>45490</v>
      </c>
      <c r="C170" vm="592">
        <f ca="1"/>
        <v>126.4</v>
      </c>
    </row>
    <row r="171" spans="2:3" x14ac:dyDescent="0.25">
      <c r="B171" vm="275">
        <f ca="1"/>
        <v>45491</v>
      </c>
      <c r="C171" vm="593">
        <f ca="1"/>
        <v>129.30000000000001</v>
      </c>
    </row>
    <row r="172" spans="2:3" x14ac:dyDescent="0.25">
      <c r="B172" vm="277">
        <f ca="1"/>
        <v>45492</v>
      </c>
      <c r="C172" vm="594">
        <f ca="1"/>
        <v>126.2</v>
      </c>
    </row>
    <row r="173" spans="2:3" x14ac:dyDescent="0.25">
      <c r="B173" vm="279">
        <f ca="1"/>
        <v>45495</v>
      </c>
      <c r="C173" vm="587">
        <f ca="1"/>
        <v>127.3</v>
      </c>
    </row>
    <row r="174" spans="2:3" x14ac:dyDescent="0.25">
      <c r="B174" vm="281">
        <f ca="1"/>
        <v>45496</v>
      </c>
      <c r="C174" vm="595">
        <f ca="1"/>
        <v>126.6</v>
      </c>
    </row>
    <row r="175" spans="2:3" x14ac:dyDescent="0.25">
      <c r="B175" vm="283">
        <f ca="1"/>
        <v>45497</v>
      </c>
      <c r="C175" vm="596">
        <f ca="1"/>
        <v>124.3</v>
      </c>
    </row>
    <row r="176" spans="2:3" x14ac:dyDescent="0.25">
      <c r="B176" vm="285">
        <f ca="1"/>
        <v>45498</v>
      </c>
      <c r="C176" vm="597">
        <f ca="1"/>
        <v>122.9</v>
      </c>
    </row>
    <row r="177" spans="2:3" x14ac:dyDescent="0.25">
      <c r="B177" vm="287">
        <f ca="1"/>
        <v>45499</v>
      </c>
      <c r="C177" vm="576">
        <f ca="1"/>
        <v>122.5</v>
      </c>
    </row>
    <row r="178" spans="2:3" x14ac:dyDescent="0.25">
      <c r="B178" vm="289">
        <f ca="1"/>
        <v>45502</v>
      </c>
      <c r="C178" vm="598">
        <f ca="1"/>
        <v>125.5</v>
      </c>
    </row>
    <row r="179" spans="2:3" x14ac:dyDescent="0.25">
      <c r="B179" vm="291">
        <f ca="1"/>
        <v>45503</v>
      </c>
      <c r="C179" vm="599">
        <f ca="1"/>
        <v>128.6</v>
      </c>
    </row>
    <row r="180" spans="2:3" x14ac:dyDescent="0.25">
      <c r="B180" vm="293">
        <f ca="1"/>
        <v>45504</v>
      </c>
      <c r="C180" vm="600">
        <f ca="1"/>
        <v>130.30000000000001</v>
      </c>
    </row>
    <row r="181" spans="2:3" x14ac:dyDescent="0.25">
      <c r="B181" vm="295">
        <f ca="1"/>
        <v>45505</v>
      </c>
      <c r="C181" vm="601">
        <f ca="1"/>
        <v>130.1</v>
      </c>
    </row>
    <row r="182" spans="2:3" x14ac:dyDescent="0.25">
      <c r="B182" vm="297">
        <f ca="1"/>
        <v>45506</v>
      </c>
      <c r="C182" vm="602">
        <f ca="1"/>
        <v>115</v>
      </c>
    </row>
    <row r="183" spans="2:3" x14ac:dyDescent="0.25">
      <c r="B183" vm="299">
        <f ca="1"/>
        <v>45509</v>
      </c>
      <c r="C183" vm="603">
        <f ca="1"/>
        <v>111</v>
      </c>
    </row>
    <row r="184" spans="2:3" x14ac:dyDescent="0.25">
      <c r="B184" vm="301">
        <f ca="1"/>
        <v>45510</v>
      </c>
      <c r="C184" vm="604">
        <f ca="1"/>
        <v>112.8</v>
      </c>
    </row>
    <row r="185" spans="2:3" x14ac:dyDescent="0.25">
      <c r="B185" vm="303">
        <f ca="1"/>
        <v>45511</v>
      </c>
      <c r="C185" vm="605">
        <f ca="1"/>
        <v>115.4</v>
      </c>
    </row>
    <row r="186" spans="2:3" x14ac:dyDescent="0.25">
      <c r="B186" vm="305">
        <f ca="1"/>
        <v>45512</v>
      </c>
      <c r="C186" vm="606">
        <f ca="1"/>
        <v>113</v>
      </c>
    </row>
    <row r="187" spans="2:3" x14ac:dyDescent="0.25">
      <c r="B187" vm="307">
        <f ca="1"/>
        <v>45513</v>
      </c>
      <c r="C187" vm="607">
        <f ca="1"/>
        <v>114.9</v>
      </c>
    </row>
    <row r="188" spans="2:3" x14ac:dyDescent="0.25">
      <c r="B188" vm="309">
        <f ca="1"/>
        <v>45516</v>
      </c>
      <c r="C188" vm="608">
        <f ca="1"/>
        <v>114.8</v>
      </c>
    </row>
    <row r="189" spans="2:3" x14ac:dyDescent="0.25">
      <c r="B189" vm="311">
        <f ca="1"/>
        <v>45517</v>
      </c>
      <c r="C189" vm="573">
        <f ca="1"/>
        <v>116.4</v>
      </c>
    </row>
    <row r="190" spans="2:3" x14ac:dyDescent="0.25">
      <c r="B190" vm="313">
        <f ca="1"/>
        <v>45518</v>
      </c>
      <c r="C190" vm="609">
        <f ca="1"/>
        <v>119.4</v>
      </c>
    </row>
    <row r="191" spans="2:3" x14ac:dyDescent="0.25">
      <c r="B191" vm="315">
        <f ca="1"/>
        <v>45519</v>
      </c>
      <c r="C191" vm="610">
        <f ca="1"/>
        <v>120.6</v>
      </c>
    </row>
    <row r="192" spans="2:3" x14ac:dyDescent="0.25">
      <c r="B192" vm="317">
        <f ca="1"/>
        <v>45520</v>
      </c>
      <c r="C192" vm="577">
        <f ca="1"/>
        <v>122.2</v>
      </c>
    </row>
  </sheetData>
  <mergeCells count="4">
    <mergeCell ref="B2:C2"/>
    <mergeCell ref="B24:C24"/>
    <mergeCell ref="B33:C33"/>
    <mergeCell ref="B34:C34"/>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14644-E5EC-40AE-A58F-734F24413ED0}">
  <sheetPr codeName="Sheet12">
    <tabColor theme="9" tint="0.59999389629810485"/>
  </sheetPr>
  <dimension ref="B2:D192"/>
  <sheetViews>
    <sheetView showGridLines="0" topLeftCell="A16" workbookViewId="0">
      <selection activeCell="C28" sqref="C28"/>
    </sheetView>
  </sheetViews>
  <sheetFormatPr defaultRowHeight="15" x14ac:dyDescent="0.25"/>
  <cols>
    <col min="2" max="2" width="12.7109375" customWidth="1"/>
    <col min="3" max="3" width="16.140625" customWidth="1"/>
    <col min="4" max="4" width="10.140625" bestFit="1" customWidth="1"/>
    <col min="14" max="14" width="10.140625" bestFit="1" customWidth="1"/>
  </cols>
  <sheetData>
    <row r="2" spans="2:4" x14ac:dyDescent="0.25">
      <c r="B2" s="6" t="s">
        <v>18</v>
      </c>
      <c r="C2" s="6"/>
      <c r="D2" s="3"/>
    </row>
    <row r="24" spans="2:4" x14ac:dyDescent="0.25">
      <c r="B24" s="6" t="s">
        <v>19</v>
      </c>
      <c r="C24" s="6"/>
      <c r="D24" s="3"/>
    </row>
    <row r="25" spans="2:4" x14ac:dyDescent="0.25">
      <c r="B25" s="5" t="s">
        <v>20</v>
      </c>
      <c r="C25" s="4" t="s">
        <v>21</v>
      </c>
    </row>
    <row r="26" spans="2:4" x14ac:dyDescent="0.25">
      <c r="B26" s="5" t="s">
        <v>22</v>
      </c>
      <c r="C26" s="4" t="s">
        <v>23</v>
      </c>
    </row>
    <row r="27" spans="2:4" x14ac:dyDescent="0.25">
      <c r="B27" t="s">
        <v>2</v>
      </c>
      <c r="C27" t="e" vm="611">
        <v>#VALUE!</v>
      </c>
    </row>
    <row r="33" spans="2:3" x14ac:dyDescent="0.25">
      <c r="B33" s="6" t="s">
        <v>28</v>
      </c>
      <c r="C33" s="6"/>
    </row>
    <row r="34" spans="2:3" x14ac:dyDescent="0.25">
      <c r="B34" s="8" t="s">
        <v>29</v>
      </c>
      <c r="C34" s="8"/>
    </row>
    <row r="35" spans="2:3" x14ac:dyDescent="0.25">
      <c r="B35" cm="1" vm="2">
        <f t="array" aca="1" ref="B35:C192" ca="1">_xlfn.STOCKHISTORY(C27,DATE(2023,12,29),TODAY(),0,0,0,1)</f>
        <v>45289</v>
      </c>
      <c r="C35" vm="612">
        <f ca="1"/>
        <v>216</v>
      </c>
    </row>
    <row r="36" spans="2:3" x14ac:dyDescent="0.25">
      <c r="B36" vm="4">
        <f ca="1"/>
        <v>45293</v>
      </c>
      <c r="C36" vm="613">
        <f ca="1"/>
        <v>213.1</v>
      </c>
    </row>
    <row r="37" spans="2:3" x14ac:dyDescent="0.25">
      <c r="B37" vm="7">
        <f ca="1"/>
        <v>45294</v>
      </c>
      <c r="C37" vm="614">
        <f ca="1"/>
        <v>213.8</v>
      </c>
    </row>
    <row r="38" spans="2:3" x14ac:dyDescent="0.25">
      <c r="B38" vm="9">
        <f ca="1"/>
        <v>45295</v>
      </c>
      <c r="C38" vm="615">
        <f ca="1"/>
        <v>216.7</v>
      </c>
    </row>
    <row r="39" spans="2:3" x14ac:dyDescent="0.25">
      <c r="B39" vm="11">
        <f ca="1"/>
        <v>45296</v>
      </c>
      <c r="C39" vm="616">
        <f ca="1"/>
        <v>215.5</v>
      </c>
    </row>
    <row r="40" spans="2:3" x14ac:dyDescent="0.25">
      <c r="B40" vm="13">
        <f ca="1"/>
        <v>45299</v>
      </c>
      <c r="C40" vm="617">
        <f ca="1"/>
        <v>216.4</v>
      </c>
    </row>
    <row r="41" spans="2:3" x14ac:dyDescent="0.25">
      <c r="B41" vm="15">
        <f ca="1"/>
        <v>45300</v>
      </c>
      <c r="C41" vm="612">
        <f ca="1"/>
        <v>216</v>
      </c>
    </row>
    <row r="42" spans="2:3" x14ac:dyDescent="0.25">
      <c r="B42" vm="17">
        <f ca="1"/>
        <v>45301</v>
      </c>
      <c r="C42" vm="618">
        <f ca="1"/>
        <v>214.6</v>
      </c>
    </row>
    <row r="43" spans="2:3" x14ac:dyDescent="0.25">
      <c r="B43" vm="19">
        <f ca="1"/>
        <v>45302</v>
      </c>
      <c r="C43" vm="619">
        <f ca="1"/>
        <v>215</v>
      </c>
    </row>
    <row r="44" spans="2:3" x14ac:dyDescent="0.25">
      <c r="B44" vm="21">
        <f ca="1"/>
        <v>45303</v>
      </c>
      <c r="C44" vm="620">
        <f ca="1"/>
        <v>216.6</v>
      </c>
    </row>
    <row r="45" spans="2:3" x14ac:dyDescent="0.25">
      <c r="B45" vm="23">
        <f ca="1"/>
        <v>45306</v>
      </c>
      <c r="C45" vm="612">
        <f ca="1"/>
        <v>216</v>
      </c>
    </row>
    <row r="46" spans="2:3" x14ac:dyDescent="0.25">
      <c r="B46" vm="25">
        <f ca="1"/>
        <v>45307</v>
      </c>
      <c r="C46" vm="621">
        <f ca="1"/>
        <v>210.2</v>
      </c>
    </row>
    <row r="47" spans="2:3" x14ac:dyDescent="0.25">
      <c r="B47" vm="27">
        <f ca="1"/>
        <v>45308</v>
      </c>
      <c r="C47" vm="622">
        <f ca="1"/>
        <v>207.7</v>
      </c>
    </row>
    <row r="48" spans="2:3" x14ac:dyDescent="0.25">
      <c r="B48" vm="29">
        <f ca="1"/>
        <v>45309</v>
      </c>
      <c r="C48" vm="623">
        <f ca="1"/>
        <v>210.5</v>
      </c>
    </row>
    <row r="49" spans="2:3" x14ac:dyDescent="0.25">
      <c r="B49" vm="31">
        <f ca="1"/>
        <v>45310</v>
      </c>
      <c r="C49" vm="624">
        <f ca="1"/>
        <v>212.8</v>
      </c>
    </row>
    <row r="50" spans="2:3" x14ac:dyDescent="0.25">
      <c r="B50" vm="33">
        <f ca="1"/>
        <v>45313</v>
      </c>
      <c r="C50" vm="620">
        <f ca="1"/>
        <v>216.6</v>
      </c>
    </row>
    <row r="51" spans="2:3" x14ac:dyDescent="0.25">
      <c r="B51" vm="35">
        <f ca="1"/>
        <v>45314</v>
      </c>
      <c r="C51" vm="625">
        <f ca="1"/>
        <v>214.8</v>
      </c>
    </row>
    <row r="52" spans="2:3" x14ac:dyDescent="0.25">
      <c r="B52" vm="37">
        <f ca="1"/>
        <v>45315</v>
      </c>
      <c r="C52" vm="626">
        <f ca="1"/>
        <v>214.3</v>
      </c>
    </row>
    <row r="53" spans="2:3" x14ac:dyDescent="0.25">
      <c r="B53" vm="39">
        <f ca="1"/>
        <v>45316</v>
      </c>
      <c r="C53" vm="627">
        <f ca="1"/>
        <v>214.7</v>
      </c>
    </row>
    <row r="54" spans="2:3" x14ac:dyDescent="0.25">
      <c r="B54" vm="41">
        <f ca="1"/>
        <v>45317</v>
      </c>
      <c r="C54" vm="619">
        <f ca="1"/>
        <v>215</v>
      </c>
    </row>
    <row r="55" spans="2:3" x14ac:dyDescent="0.25">
      <c r="B55" vm="43">
        <f ca="1"/>
        <v>45320</v>
      </c>
      <c r="C55" vm="628">
        <f ca="1"/>
        <v>211.7</v>
      </c>
    </row>
    <row r="56" spans="2:3" x14ac:dyDescent="0.25">
      <c r="B56" vm="45">
        <f ca="1"/>
        <v>45321</v>
      </c>
      <c r="C56" vm="629">
        <f ca="1"/>
        <v>211.1</v>
      </c>
    </row>
    <row r="57" spans="2:3" x14ac:dyDescent="0.25">
      <c r="B57" vm="47">
        <f ca="1"/>
        <v>45322</v>
      </c>
      <c r="C57" vm="630">
        <f ca="1"/>
        <v>205.1</v>
      </c>
    </row>
    <row r="58" spans="2:3" x14ac:dyDescent="0.25">
      <c r="B58" vm="49">
        <f ca="1"/>
        <v>45323</v>
      </c>
      <c r="C58" vm="631">
        <f ca="1"/>
        <v>205.2</v>
      </c>
    </row>
    <row r="59" spans="2:3" x14ac:dyDescent="0.25">
      <c r="B59" vm="51">
        <f ca="1"/>
        <v>45324</v>
      </c>
      <c r="C59" vm="632">
        <f ca="1"/>
        <v>207.5</v>
      </c>
    </row>
    <row r="60" spans="2:3" x14ac:dyDescent="0.25">
      <c r="B60" vm="53">
        <f ca="1"/>
        <v>45327</v>
      </c>
      <c r="C60" vm="633">
        <f ca="1"/>
        <v>205.4</v>
      </c>
    </row>
    <row r="61" spans="2:3" x14ac:dyDescent="0.25">
      <c r="B61" vm="55">
        <f ca="1"/>
        <v>45328</v>
      </c>
      <c r="C61" vm="633">
        <f ca="1"/>
        <v>205.4</v>
      </c>
    </row>
    <row r="62" spans="2:3" x14ac:dyDescent="0.25">
      <c r="B62" vm="57">
        <f ca="1"/>
        <v>45329</v>
      </c>
      <c r="C62" vm="634">
        <f ca="1"/>
        <v>202.8</v>
      </c>
    </row>
    <row r="63" spans="2:3" x14ac:dyDescent="0.25">
      <c r="B63" vm="59">
        <f ca="1"/>
        <v>45330</v>
      </c>
      <c r="C63" vm="635">
        <f ca="1"/>
        <v>201.3</v>
      </c>
    </row>
    <row r="64" spans="2:3" x14ac:dyDescent="0.25">
      <c r="B64" vm="61">
        <f ca="1"/>
        <v>45331</v>
      </c>
      <c r="C64" vm="636">
        <f ca="1"/>
        <v>200.8</v>
      </c>
    </row>
    <row r="65" spans="2:3" x14ac:dyDescent="0.25">
      <c r="B65" vm="63">
        <f ca="1"/>
        <v>45334</v>
      </c>
      <c r="C65" vm="637">
        <f ca="1"/>
        <v>201.8</v>
      </c>
    </row>
    <row r="66" spans="2:3" x14ac:dyDescent="0.25">
      <c r="B66" vm="65">
        <f ca="1"/>
        <v>45335</v>
      </c>
      <c r="C66" vm="638">
        <f ca="1"/>
        <v>201.7</v>
      </c>
    </row>
    <row r="67" spans="2:3" x14ac:dyDescent="0.25">
      <c r="B67" vm="67">
        <f ca="1"/>
        <v>45336</v>
      </c>
      <c r="C67" vm="639">
        <f ca="1"/>
        <v>204.8</v>
      </c>
    </row>
    <row r="68" spans="2:3" x14ac:dyDescent="0.25">
      <c r="B68" vm="69">
        <f ca="1"/>
        <v>45337</v>
      </c>
      <c r="C68" vm="640">
        <f ca="1"/>
        <v>203.6</v>
      </c>
    </row>
    <row r="69" spans="2:3" x14ac:dyDescent="0.25">
      <c r="B69" vm="71">
        <f ca="1"/>
        <v>45338</v>
      </c>
      <c r="C69" vm="641">
        <f ca="1"/>
        <v>206.1</v>
      </c>
    </row>
    <row r="70" spans="2:3" x14ac:dyDescent="0.25">
      <c r="B70" vm="73">
        <f ca="1"/>
        <v>45341</v>
      </c>
      <c r="C70" vm="642">
        <f ca="1"/>
        <v>206.8</v>
      </c>
    </row>
    <row r="71" spans="2:3" x14ac:dyDescent="0.25">
      <c r="B71" vm="75">
        <f ca="1"/>
        <v>45342</v>
      </c>
      <c r="C71" vm="643">
        <f ca="1"/>
        <v>208.6</v>
      </c>
    </row>
    <row r="72" spans="2:3" x14ac:dyDescent="0.25">
      <c r="B72" vm="77">
        <f ca="1"/>
        <v>45343</v>
      </c>
      <c r="C72" vm="644">
        <f ca="1"/>
        <v>205</v>
      </c>
    </row>
    <row r="73" spans="2:3" x14ac:dyDescent="0.25">
      <c r="B73" vm="79">
        <f ca="1"/>
        <v>45344</v>
      </c>
      <c r="C73" vm="633">
        <f ca="1"/>
        <v>205.4</v>
      </c>
    </row>
    <row r="74" spans="2:3" x14ac:dyDescent="0.25">
      <c r="B74" vm="81">
        <f ca="1"/>
        <v>45345</v>
      </c>
      <c r="C74" vm="645">
        <f ca="1"/>
        <v>207.3</v>
      </c>
    </row>
    <row r="75" spans="2:3" x14ac:dyDescent="0.25">
      <c r="B75" vm="83">
        <f ca="1"/>
        <v>45348</v>
      </c>
      <c r="C75" vm="646">
        <f ca="1"/>
        <v>207</v>
      </c>
    </row>
    <row r="76" spans="2:3" x14ac:dyDescent="0.25">
      <c r="B76" vm="85">
        <f ca="1"/>
        <v>45349</v>
      </c>
      <c r="C76" vm="647">
        <f ca="1"/>
        <v>209.7</v>
      </c>
    </row>
    <row r="77" spans="2:3" x14ac:dyDescent="0.25">
      <c r="B77" vm="87">
        <f ca="1"/>
        <v>45350</v>
      </c>
      <c r="C77" vm="648">
        <f ca="1"/>
        <v>211.3</v>
      </c>
    </row>
    <row r="78" spans="2:3" x14ac:dyDescent="0.25">
      <c r="B78" vm="89">
        <f ca="1"/>
        <v>45351</v>
      </c>
      <c r="C78" vm="649">
        <f ca="1"/>
        <v>212.3</v>
      </c>
    </row>
    <row r="79" spans="2:3" x14ac:dyDescent="0.25">
      <c r="B79" vm="91">
        <f ca="1"/>
        <v>45352</v>
      </c>
      <c r="C79" vm="613">
        <f ca="1"/>
        <v>213.1</v>
      </c>
    </row>
    <row r="80" spans="2:3" x14ac:dyDescent="0.25">
      <c r="B80" vm="93">
        <f ca="1"/>
        <v>45355</v>
      </c>
      <c r="C80" vm="650">
        <f ca="1"/>
        <v>212.5</v>
      </c>
    </row>
    <row r="81" spans="2:3" x14ac:dyDescent="0.25">
      <c r="B81" vm="95">
        <f ca="1"/>
        <v>45356</v>
      </c>
      <c r="C81" vm="651">
        <f ca="1"/>
        <v>213.4</v>
      </c>
    </row>
    <row r="82" spans="2:3" x14ac:dyDescent="0.25">
      <c r="B82" vm="97">
        <f ca="1"/>
        <v>45357</v>
      </c>
      <c r="C82" vm="652">
        <f ca="1"/>
        <v>213.3</v>
      </c>
    </row>
    <row r="83" spans="2:3" x14ac:dyDescent="0.25">
      <c r="B83" vm="99">
        <f ca="1"/>
        <v>45358</v>
      </c>
      <c r="C83" vm="628">
        <f ca="1"/>
        <v>211.7</v>
      </c>
    </row>
    <row r="84" spans="2:3" x14ac:dyDescent="0.25">
      <c r="B84" vm="101">
        <f ca="1"/>
        <v>45359</v>
      </c>
      <c r="C84" vm="650">
        <f ca="1"/>
        <v>212.5</v>
      </c>
    </row>
    <row r="85" spans="2:3" x14ac:dyDescent="0.25">
      <c r="B85" vm="103">
        <f ca="1"/>
        <v>45362</v>
      </c>
      <c r="C85" vm="653">
        <f ca="1"/>
        <v>209.9</v>
      </c>
    </row>
    <row r="86" spans="2:3" x14ac:dyDescent="0.25">
      <c r="B86" vm="105">
        <f ca="1"/>
        <v>45363</v>
      </c>
      <c r="C86" vm="650">
        <f ca="1"/>
        <v>212.5</v>
      </c>
    </row>
    <row r="87" spans="2:3" x14ac:dyDescent="0.25">
      <c r="B87" vm="107">
        <f ca="1"/>
        <v>45364</v>
      </c>
      <c r="C87" vm="654">
        <f ca="1"/>
        <v>212.1</v>
      </c>
    </row>
    <row r="88" spans="2:3" x14ac:dyDescent="0.25">
      <c r="B88" vm="109">
        <f ca="1"/>
        <v>45365</v>
      </c>
      <c r="C88" vm="655">
        <f ca="1"/>
        <v>211.8</v>
      </c>
    </row>
    <row r="89" spans="2:3" x14ac:dyDescent="0.25">
      <c r="B89" vm="111">
        <f ca="1"/>
        <v>45366</v>
      </c>
      <c r="C89" vm="656">
        <f ca="1"/>
        <v>208</v>
      </c>
    </row>
    <row r="90" spans="2:3" x14ac:dyDescent="0.25">
      <c r="B90" vm="113">
        <f ca="1"/>
        <v>45369</v>
      </c>
      <c r="C90" vm="629">
        <f ca="1"/>
        <v>211.1</v>
      </c>
    </row>
    <row r="91" spans="2:3" x14ac:dyDescent="0.25">
      <c r="B91" vm="115">
        <f ca="1"/>
        <v>45370</v>
      </c>
      <c r="C91" vm="654">
        <f ca="1"/>
        <v>212.1</v>
      </c>
    </row>
    <row r="92" spans="2:3" x14ac:dyDescent="0.25">
      <c r="B92" vm="117">
        <f ca="1"/>
        <v>45371</v>
      </c>
      <c r="C92" vm="657">
        <f ca="1"/>
        <v>212.6</v>
      </c>
    </row>
    <row r="93" spans="2:3" x14ac:dyDescent="0.25">
      <c r="B93" vm="119">
        <f ca="1"/>
        <v>45372</v>
      </c>
      <c r="C93" vm="658">
        <f ca="1"/>
        <v>212.9</v>
      </c>
    </row>
    <row r="94" spans="2:3" x14ac:dyDescent="0.25">
      <c r="B94" vm="121">
        <f ca="1"/>
        <v>45373</v>
      </c>
      <c r="C94" vm="657">
        <f ca="1"/>
        <v>212.6</v>
      </c>
    </row>
    <row r="95" spans="2:3" x14ac:dyDescent="0.25">
      <c r="B95" vm="123">
        <f ca="1"/>
        <v>45376</v>
      </c>
      <c r="C95" vm="659">
        <f ca="1"/>
        <v>213.7</v>
      </c>
    </row>
    <row r="96" spans="2:3" x14ac:dyDescent="0.25">
      <c r="B96" vm="125">
        <f ca="1"/>
        <v>45377</v>
      </c>
      <c r="C96" vm="651">
        <f ca="1"/>
        <v>213.4</v>
      </c>
    </row>
    <row r="97" spans="2:3" x14ac:dyDescent="0.25">
      <c r="B97" vm="127">
        <f ca="1"/>
        <v>45378</v>
      </c>
      <c r="C97" vm="660">
        <f ca="1"/>
        <v>215.1</v>
      </c>
    </row>
    <row r="98" spans="2:3" x14ac:dyDescent="0.25">
      <c r="B98" vm="129">
        <f ca="1"/>
        <v>45384</v>
      </c>
      <c r="C98" vm="619">
        <f ca="1"/>
        <v>215</v>
      </c>
    </row>
    <row r="99" spans="2:3" x14ac:dyDescent="0.25">
      <c r="B99" vm="131">
        <f ca="1"/>
        <v>45385</v>
      </c>
      <c r="C99" vm="661">
        <f ca="1"/>
        <v>217.8</v>
      </c>
    </row>
    <row r="100" spans="2:3" x14ac:dyDescent="0.25">
      <c r="B100" vm="133">
        <f ca="1"/>
        <v>45386</v>
      </c>
      <c r="C100" vm="613">
        <f ca="1"/>
        <v>213.1</v>
      </c>
    </row>
    <row r="101" spans="2:3" x14ac:dyDescent="0.25">
      <c r="B101" vm="135">
        <f ca="1"/>
        <v>45387</v>
      </c>
      <c r="C101" vm="616">
        <f ca="1"/>
        <v>215.5</v>
      </c>
    </row>
    <row r="102" spans="2:3" x14ac:dyDescent="0.25">
      <c r="B102" vm="137">
        <f ca="1"/>
        <v>45390</v>
      </c>
      <c r="C102" vm="620">
        <f ca="1"/>
        <v>216.6</v>
      </c>
    </row>
    <row r="103" spans="2:3" x14ac:dyDescent="0.25">
      <c r="B103" vm="139">
        <f ca="1"/>
        <v>45391</v>
      </c>
      <c r="C103" vm="662">
        <f ca="1"/>
        <v>217</v>
      </c>
    </row>
    <row r="104" spans="2:3" x14ac:dyDescent="0.25">
      <c r="B104" vm="141">
        <f ca="1"/>
        <v>45392</v>
      </c>
      <c r="C104" vm="663">
        <f ca="1"/>
        <v>219</v>
      </c>
    </row>
    <row r="105" spans="2:3" x14ac:dyDescent="0.25">
      <c r="B105" vm="143">
        <f ca="1"/>
        <v>45393</v>
      </c>
      <c r="C105" vm="614">
        <f ca="1"/>
        <v>213.8</v>
      </c>
    </row>
    <row r="106" spans="2:3" x14ac:dyDescent="0.25">
      <c r="B106" vm="145">
        <f ca="1"/>
        <v>45394</v>
      </c>
      <c r="C106" vm="612">
        <f ca="1"/>
        <v>216</v>
      </c>
    </row>
    <row r="107" spans="2:3" x14ac:dyDescent="0.25">
      <c r="B107" vm="147">
        <f ca="1"/>
        <v>45397</v>
      </c>
      <c r="C107" vm="664">
        <f ca="1"/>
        <v>216.3</v>
      </c>
    </row>
    <row r="108" spans="2:3" x14ac:dyDescent="0.25">
      <c r="B108" vm="149">
        <f ca="1"/>
        <v>45398</v>
      </c>
      <c r="C108" vm="628">
        <f ca="1"/>
        <v>211.7</v>
      </c>
    </row>
    <row r="109" spans="2:3" x14ac:dyDescent="0.25">
      <c r="B109" vm="151">
        <f ca="1"/>
        <v>45399</v>
      </c>
      <c r="C109" vm="649">
        <f ca="1"/>
        <v>212.3</v>
      </c>
    </row>
    <row r="110" spans="2:3" x14ac:dyDescent="0.25">
      <c r="B110" vm="153">
        <f ca="1"/>
        <v>45400</v>
      </c>
      <c r="C110" vm="648">
        <f ca="1"/>
        <v>211.3</v>
      </c>
    </row>
    <row r="111" spans="2:3" x14ac:dyDescent="0.25">
      <c r="B111" vm="155">
        <f ca="1"/>
        <v>45401</v>
      </c>
      <c r="C111" vm="665">
        <f ca="1"/>
        <v>211.5</v>
      </c>
    </row>
    <row r="112" spans="2:3" x14ac:dyDescent="0.25">
      <c r="B112" vm="157">
        <f ca="1"/>
        <v>45404</v>
      </c>
      <c r="C112" vm="623">
        <f ca="1"/>
        <v>210.5</v>
      </c>
    </row>
    <row r="113" spans="2:3" x14ac:dyDescent="0.25">
      <c r="B113" vm="159">
        <f ca="1"/>
        <v>45405</v>
      </c>
      <c r="C113" vm="666">
        <f ca="1"/>
        <v>208.3</v>
      </c>
    </row>
    <row r="114" spans="2:3" x14ac:dyDescent="0.25">
      <c r="B114" vm="161">
        <f ca="1"/>
        <v>45406</v>
      </c>
      <c r="C114" vm="645">
        <f ca="1"/>
        <v>207.3</v>
      </c>
    </row>
    <row r="115" spans="2:3" x14ac:dyDescent="0.25">
      <c r="B115" vm="163">
        <f ca="1"/>
        <v>45407</v>
      </c>
      <c r="C115" vm="667">
        <f ca="1"/>
        <v>208.5</v>
      </c>
    </row>
    <row r="116" spans="2:3" x14ac:dyDescent="0.25">
      <c r="B116" vm="165">
        <f ca="1"/>
        <v>45408</v>
      </c>
      <c r="C116" vm="668">
        <f ca="1"/>
        <v>207.9</v>
      </c>
    </row>
    <row r="117" spans="2:3" x14ac:dyDescent="0.25">
      <c r="B117" vm="167">
        <f ca="1"/>
        <v>45411</v>
      </c>
      <c r="C117" vm="669">
        <f ca="1"/>
        <v>211.2</v>
      </c>
    </row>
    <row r="118" spans="2:3" x14ac:dyDescent="0.25">
      <c r="B118" vm="169">
        <f ca="1"/>
        <v>45412</v>
      </c>
      <c r="C118" vm="670">
        <f ca="1"/>
        <v>194.1</v>
      </c>
    </row>
    <row r="119" spans="2:3" x14ac:dyDescent="0.25">
      <c r="B119" vm="171">
        <f ca="1"/>
        <v>45414</v>
      </c>
      <c r="C119" vm="671">
        <f ca="1"/>
        <v>194.3</v>
      </c>
    </row>
    <row r="120" spans="2:3" x14ac:dyDescent="0.25">
      <c r="B120" vm="173">
        <f ca="1"/>
        <v>45415</v>
      </c>
      <c r="C120" vm="672">
        <f ca="1"/>
        <v>196.65</v>
      </c>
    </row>
    <row r="121" spans="2:3" x14ac:dyDescent="0.25">
      <c r="B121" vm="175">
        <f ca="1"/>
        <v>45418</v>
      </c>
      <c r="C121" vm="673">
        <f ca="1"/>
        <v>202.2</v>
      </c>
    </row>
    <row r="122" spans="2:3" x14ac:dyDescent="0.25">
      <c r="B122" vm="177">
        <f ca="1"/>
        <v>45419</v>
      </c>
      <c r="C122" vm="674">
        <f ca="1"/>
        <v>203</v>
      </c>
    </row>
    <row r="123" spans="2:3" x14ac:dyDescent="0.25">
      <c r="B123" vm="179">
        <f ca="1"/>
        <v>45420</v>
      </c>
      <c r="C123" vm="675">
        <f ca="1"/>
        <v>202.6</v>
      </c>
    </row>
    <row r="124" spans="2:3" x14ac:dyDescent="0.25">
      <c r="B124" vm="181">
        <f ca="1"/>
        <v>45422</v>
      </c>
      <c r="C124" vm="676">
        <f ca="1"/>
        <v>203.7</v>
      </c>
    </row>
    <row r="125" spans="2:3" x14ac:dyDescent="0.25">
      <c r="B125" vm="183">
        <f ca="1"/>
        <v>45425</v>
      </c>
      <c r="C125" vm="677">
        <f ca="1"/>
        <v>206.5</v>
      </c>
    </row>
    <row r="126" spans="2:3" x14ac:dyDescent="0.25">
      <c r="B126" vm="185">
        <f ca="1"/>
        <v>45426</v>
      </c>
      <c r="C126" vm="640">
        <f ca="1"/>
        <v>203.6</v>
      </c>
    </row>
    <row r="127" spans="2:3" x14ac:dyDescent="0.25">
      <c r="B127" vm="187">
        <f ca="1"/>
        <v>45427</v>
      </c>
      <c r="C127" vm="678">
        <f ca="1"/>
        <v>201</v>
      </c>
    </row>
    <row r="128" spans="2:3" x14ac:dyDescent="0.25">
      <c r="B128" vm="189">
        <f ca="1"/>
        <v>45428</v>
      </c>
      <c r="C128" vm="679">
        <f ca="1"/>
        <v>203.4</v>
      </c>
    </row>
    <row r="129" spans="2:3" x14ac:dyDescent="0.25">
      <c r="B129" vm="191">
        <f ca="1"/>
        <v>45433</v>
      </c>
      <c r="C129" vm="680">
        <f ca="1"/>
        <v>200.7</v>
      </c>
    </row>
    <row r="130" spans="2:3" x14ac:dyDescent="0.25">
      <c r="B130" vm="193">
        <f ca="1"/>
        <v>45434</v>
      </c>
      <c r="C130" vm="681">
        <f ca="1"/>
        <v>201.9</v>
      </c>
    </row>
    <row r="131" spans="2:3" x14ac:dyDescent="0.25">
      <c r="B131" vm="195">
        <f ca="1"/>
        <v>45435</v>
      </c>
      <c r="C131" vm="682">
        <f ca="1"/>
        <v>201.5</v>
      </c>
    </row>
    <row r="132" spans="2:3" x14ac:dyDescent="0.25">
      <c r="B132" vm="197">
        <f ca="1"/>
        <v>45436</v>
      </c>
      <c r="C132" vm="633">
        <f ca="1"/>
        <v>205.4</v>
      </c>
    </row>
    <row r="133" spans="2:3" x14ac:dyDescent="0.25">
      <c r="B133" vm="199">
        <f ca="1"/>
        <v>45439</v>
      </c>
      <c r="C133" vm="642">
        <f ca="1"/>
        <v>206.8</v>
      </c>
    </row>
    <row r="134" spans="2:3" x14ac:dyDescent="0.25">
      <c r="B134" vm="201">
        <f ca="1"/>
        <v>45440</v>
      </c>
      <c r="C134" vm="683">
        <f ca="1"/>
        <v>206.7</v>
      </c>
    </row>
    <row r="135" spans="2:3" x14ac:dyDescent="0.25">
      <c r="B135" vm="203">
        <f ca="1"/>
        <v>45441</v>
      </c>
      <c r="C135" vm="640">
        <f ca="1"/>
        <v>203.6</v>
      </c>
    </row>
    <row r="136" spans="2:3" x14ac:dyDescent="0.25">
      <c r="B136" vm="205">
        <f ca="1"/>
        <v>45442</v>
      </c>
      <c r="C136" vm="684">
        <f ca="1"/>
        <v>204.1</v>
      </c>
    </row>
    <row r="137" spans="2:3" x14ac:dyDescent="0.25">
      <c r="B137" vm="207">
        <f ca="1"/>
        <v>45443</v>
      </c>
      <c r="C137" vm="631">
        <f ca="1"/>
        <v>205.2</v>
      </c>
    </row>
    <row r="138" spans="2:3" x14ac:dyDescent="0.25">
      <c r="B138" vm="209">
        <f ca="1"/>
        <v>45446</v>
      </c>
      <c r="C138" vm="644">
        <f ca="1"/>
        <v>205</v>
      </c>
    </row>
    <row r="139" spans="2:3" x14ac:dyDescent="0.25">
      <c r="B139" vm="211">
        <f ca="1"/>
        <v>45447</v>
      </c>
      <c r="C139" vm="685">
        <f ca="1"/>
        <v>203.3</v>
      </c>
    </row>
    <row r="140" spans="2:3" x14ac:dyDescent="0.25">
      <c r="B140" vm="213">
        <f ca="1"/>
        <v>45448</v>
      </c>
      <c r="C140" vm="686">
        <f ca="1"/>
        <v>202.9</v>
      </c>
    </row>
    <row r="141" spans="2:3" x14ac:dyDescent="0.25">
      <c r="B141" vm="215">
        <f ca="1"/>
        <v>45449</v>
      </c>
      <c r="C141" vm="687">
        <f ca="1"/>
        <v>203.8</v>
      </c>
    </row>
    <row r="142" spans="2:3" x14ac:dyDescent="0.25">
      <c r="B142" vm="217">
        <f ca="1"/>
        <v>45450</v>
      </c>
      <c r="C142" vm="688">
        <f ca="1"/>
        <v>202.5</v>
      </c>
    </row>
    <row r="143" spans="2:3" x14ac:dyDescent="0.25">
      <c r="B143" vm="219">
        <f ca="1"/>
        <v>45453</v>
      </c>
      <c r="C143" vm="673">
        <f ca="1"/>
        <v>202.2</v>
      </c>
    </row>
    <row r="144" spans="2:3" x14ac:dyDescent="0.25">
      <c r="B144" vm="221">
        <f ca="1"/>
        <v>45454</v>
      </c>
      <c r="C144" vm="675">
        <f ca="1"/>
        <v>202.6</v>
      </c>
    </row>
    <row r="145" spans="2:3" x14ac:dyDescent="0.25">
      <c r="B145" vm="223">
        <f ca="1"/>
        <v>45455</v>
      </c>
      <c r="C145" vm="689">
        <f ca="1"/>
        <v>204.5</v>
      </c>
    </row>
    <row r="146" spans="2:3" x14ac:dyDescent="0.25">
      <c r="B146" vm="225">
        <f ca="1"/>
        <v>45456</v>
      </c>
      <c r="C146" vm="686">
        <f ca="1"/>
        <v>202.9</v>
      </c>
    </row>
    <row r="147" spans="2:3" x14ac:dyDescent="0.25">
      <c r="B147" vm="227">
        <f ca="1"/>
        <v>45457</v>
      </c>
      <c r="C147" vm="690">
        <f ca="1"/>
        <v>205.7</v>
      </c>
    </row>
    <row r="148" spans="2:3" x14ac:dyDescent="0.25">
      <c r="B148" vm="229">
        <f ca="1"/>
        <v>45460</v>
      </c>
      <c r="C148" vm="691">
        <f ca="1"/>
        <v>208.2</v>
      </c>
    </row>
    <row r="149" spans="2:3" x14ac:dyDescent="0.25">
      <c r="B149" vm="231">
        <f ca="1"/>
        <v>45461</v>
      </c>
      <c r="C149" vm="632">
        <f ca="1"/>
        <v>207.5</v>
      </c>
    </row>
    <row r="150" spans="2:3" x14ac:dyDescent="0.25">
      <c r="B150" vm="233">
        <f ca="1"/>
        <v>45462</v>
      </c>
      <c r="C150" vm="692">
        <f ca="1"/>
        <v>209.3</v>
      </c>
    </row>
    <row r="151" spans="2:3" x14ac:dyDescent="0.25">
      <c r="B151" vm="235">
        <f ca="1"/>
        <v>45463</v>
      </c>
      <c r="C151" vm="692">
        <f ca="1"/>
        <v>209.3</v>
      </c>
    </row>
    <row r="152" spans="2:3" x14ac:dyDescent="0.25">
      <c r="B152" vm="237">
        <f ca="1"/>
        <v>45464</v>
      </c>
      <c r="C152" vm="667">
        <f ca="1"/>
        <v>208.5</v>
      </c>
    </row>
    <row r="153" spans="2:3" x14ac:dyDescent="0.25">
      <c r="B153" vm="239">
        <f ca="1"/>
        <v>45467</v>
      </c>
      <c r="C153" vm="693">
        <f ca="1"/>
        <v>211</v>
      </c>
    </row>
    <row r="154" spans="2:3" x14ac:dyDescent="0.25">
      <c r="B154" vm="241">
        <f ca="1"/>
        <v>45468</v>
      </c>
      <c r="C154" vm="621">
        <f ca="1"/>
        <v>210.2</v>
      </c>
    </row>
    <row r="155" spans="2:3" x14ac:dyDescent="0.25">
      <c r="B155" vm="243">
        <f ca="1"/>
        <v>45469</v>
      </c>
      <c r="C155" vm="694">
        <f ca="1"/>
        <v>207.2</v>
      </c>
    </row>
    <row r="156" spans="2:3" x14ac:dyDescent="0.25">
      <c r="B156" vm="245">
        <f ca="1"/>
        <v>45470</v>
      </c>
      <c r="C156" vm="632">
        <f ca="1"/>
        <v>207.5</v>
      </c>
    </row>
    <row r="157" spans="2:3" x14ac:dyDescent="0.25">
      <c r="B157" vm="247">
        <f ca="1"/>
        <v>45471</v>
      </c>
      <c r="C157" vm="647">
        <f ca="1"/>
        <v>209.7</v>
      </c>
    </row>
    <row r="158" spans="2:3" x14ac:dyDescent="0.25">
      <c r="B158" vm="249">
        <f ca="1"/>
        <v>45474</v>
      </c>
      <c r="C158" vm="695">
        <f ca="1"/>
        <v>212.2</v>
      </c>
    </row>
    <row r="159" spans="2:3" x14ac:dyDescent="0.25">
      <c r="B159" vm="251">
        <f ca="1"/>
        <v>45475</v>
      </c>
      <c r="C159" vm="650">
        <f ca="1"/>
        <v>212.5</v>
      </c>
    </row>
    <row r="160" spans="2:3" x14ac:dyDescent="0.25">
      <c r="B160" vm="253">
        <f ca="1"/>
        <v>45476</v>
      </c>
      <c r="C160" vm="669">
        <f ca="1"/>
        <v>211.2</v>
      </c>
    </row>
    <row r="161" spans="2:3" x14ac:dyDescent="0.25">
      <c r="B161" vm="255">
        <f ca="1"/>
        <v>45477</v>
      </c>
      <c r="C161" vm="655">
        <f ca="1"/>
        <v>211.8</v>
      </c>
    </row>
    <row r="162" spans="2:3" x14ac:dyDescent="0.25">
      <c r="B162" vm="257">
        <f ca="1"/>
        <v>45478</v>
      </c>
      <c r="C162" vm="696">
        <f ca="1"/>
        <v>209.6</v>
      </c>
    </row>
    <row r="163" spans="2:3" x14ac:dyDescent="0.25">
      <c r="B163" vm="259">
        <f ca="1"/>
        <v>45481</v>
      </c>
      <c r="C163" vm="697">
        <f ca="1"/>
        <v>209.5</v>
      </c>
    </row>
    <row r="164" spans="2:3" x14ac:dyDescent="0.25">
      <c r="B164" vm="261">
        <f ca="1"/>
        <v>45482</v>
      </c>
      <c r="C164" vm="689">
        <f ca="1"/>
        <v>204.5</v>
      </c>
    </row>
    <row r="165" spans="2:3" x14ac:dyDescent="0.25">
      <c r="B165" vm="263">
        <f ca="1"/>
        <v>45483</v>
      </c>
      <c r="C165" vm="644">
        <f ca="1"/>
        <v>205</v>
      </c>
    </row>
    <row r="166" spans="2:3" x14ac:dyDescent="0.25">
      <c r="B166" vm="265">
        <f ca="1"/>
        <v>45484</v>
      </c>
      <c r="C166" vm="662">
        <f ca="1"/>
        <v>217</v>
      </c>
    </row>
    <row r="167" spans="2:3" x14ac:dyDescent="0.25">
      <c r="B167" vm="267">
        <f ca="1"/>
        <v>45485</v>
      </c>
      <c r="C167" vm="698">
        <f ca="1"/>
        <v>218.3</v>
      </c>
    </row>
    <row r="168" spans="2:3" x14ac:dyDescent="0.25">
      <c r="B168" vm="269">
        <f ca="1"/>
        <v>45488</v>
      </c>
      <c r="C168" vm="661">
        <f ca="1"/>
        <v>217.8</v>
      </c>
    </row>
    <row r="169" spans="2:3" x14ac:dyDescent="0.25">
      <c r="B169" vm="271">
        <f ca="1"/>
        <v>45489</v>
      </c>
      <c r="C169" vm="699">
        <f ca="1"/>
        <v>217.4</v>
      </c>
    </row>
    <row r="170" spans="2:3" x14ac:dyDescent="0.25">
      <c r="B170" vm="273">
        <f ca="1"/>
        <v>45490</v>
      </c>
      <c r="C170" vm="700">
        <f ca="1"/>
        <v>216.8</v>
      </c>
    </row>
    <row r="171" spans="2:3" x14ac:dyDescent="0.25">
      <c r="B171" vm="275">
        <f ca="1"/>
        <v>45491</v>
      </c>
      <c r="C171" vm="699">
        <f ca="1"/>
        <v>217.4</v>
      </c>
    </row>
    <row r="172" spans="2:3" x14ac:dyDescent="0.25">
      <c r="B172" vm="277">
        <f ca="1"/>
        <v>45492</v>
      </c>
      <c r="C172" vm="701">
        <f ca="1"/>
        <v>218.8</v>
      </c>
    </row>
    <row r="173" spans="2:3" x14ac:dyDescent="0.25">
      <c r="B173" vm="279">
        <f ca="1"/>
        <v>45495</v>
      </c>
      <c r="C173" vm="702">
        <f ca="1"/>
        <v>222.1</v>
      </c>
    </row>
    <row r="174" spans="2:3" x14ac:dyDescent="0.25">
      <c r="B174" vm="281">
        <f ca="1"/>
        <v>45496</v>
      </c>
      <c r="C174" vm="703">
        <f ca="1"/>
        <v>221.8</v>
      </c>
    </row>
    <row r="175" spans="2:3" x14ac:dyDescent="0.25">
      <c r="B175" vm="283">
        <f ca="1"/>
        <v>45497</v>
      </c>
      <c r="C175" vm="704">
        <f ca="1"/>
        <v>220</v>
      </c>
    </row>
    <row r="176" spans="2:3" x14ac:dyDescent="0.25">
      <c r="B176" vm="285">
        <f ca="1"/>
        <v>45498</v>
      </c>
      <c r="C176" vm="705">
        <f ca="1"/>
        <v>221</v>
      </c>
    </row>
    <row r="177" spans="2:3" x14ac:dyDescent="0.25">
      <c r="B177" vm="287">
        <f ca="1"/>
        <v>45499</v>
      </c>
      <c r="C177" vm="706">
        <f ca="1"/>
        <v>222.5</v>
      </c>
    </row>
    <row r="178" spans="2:3" x14ac:dyDescent="0.25">
      <c r="B178" vm="289">
        <f ca="1"/>
        <v>45502</v>
      </c>
      <c r="C178" vm="707">
        <f ca="1"/>
        <v>224.5</v>
      </c>
    </row>
    <row r="179" spans="2:3" x14ac:dyDescent="0.25">
      <c r="B179" vm="291">
        <f ca="1"/>
        <v>45503</v>
      </c>
      <c r="C179" vm="708">
        <f ca="1"/>
        <v>225.2</v>
      </c>
    </row>
    <row r="180" spans="2:3" x14ac:dyDescent="0.25">
      <c r="B180" vm="293">
        <f ca="1"/>
        <v>45504</v>
      </c>
      <c r="C180" vm="709">
        <f ca="1"/>
        <v>225.5</v>
      </c>
    </row>
    <row r="181" spans="2:3" x14ac:dyDescent="0.25">
      <c r="B181" vm="295">
        <f ca="1"/>
        <v>45505</v>
      </c>
      <c r="C181" vm="710">
        <f ca="1"/>
        <v>223.6</v>
      </c>
    </row>
    <row r="182" spans="2:3" x14ac:dyDescent="0.25">
      <c r="B182" vm="297">
        <f ca="1"/>
        <v>45506</v>
      </c>
      <c r="C182" vm="711">
        <f ca="1"/>
        <v>218.5</v>
      </c>
    </row>
    <row r="183" spans="2:3" x14ac:dyDescent="0.25">
      <c r="B183" vm="299">
        <f ca="1"/>
        <v>45509</v>
      </c>
      <c r="C183" vm="712">
        <f ca="1"/>
        <v>209.8</v>
      </c>
    </row>
    <row r="184" spans="2:3" x14ac:dyDescent="0.25">
      <c r="B184" vm="301">
        <f ca="1"/>
        <v>45510</v>
      </c>
      <c r="C184" vm="713">
        <f ca="1"/>
        <v>210</v>
      </c>
    </row>
    <row r="185" spans="2:3" x14ac:dyDescent="0.25">
      <c r="B185" vm="303">
        <f ca="1"/>
        <v>45511</v>
      </c>
      <c r="C185" vm="714">
        <f ca="1"/>
        <v>215.2</v>
      </c>
    </row>
    <row r="186" spans="2:3" x14ac:dyDescent="0.25">
      <c r="B186" vm="305">
        <f ca="1"/>
        <v>45512</v>
      </c>
      <c r="C186" vm="715">
        <f ca="1"/>
        <v>213.9</v>
      </c>
    </row>
    <row r="187" spans="2:3" x14ac:dyDescent="0.25">
      <c r="B187" vm="307">
        <f ca="1"/>
        <v>45513</v>
      </c>
      <c r="C187" vm="716">
        <f ca="1"/>
        <v>214.4</v>
      </c>
    </row>
    <row r="188" spans="2:3" x14ac:dyDescent="0.25">
      <c r="B188" vm="309">
        <f ca="1"/>
        <v>45516</v>
      </c>
      <c r="C188" vm="627">
        <f ca="1"/>
        <v>214.7</v>
      </c>
    </row>
    <row r="189" spans="2:3" x14ac:dyDescent="0.25">
      <c r="B189" vm="311">
        <f ca="1"/>
        <v>45517</v>
      </c>
      <c r="C189" vm="717">
        <f ca="1"/>
        <v>216.9</v>
      </c>
    </row>
    <row r="190" spans="2:3" x14ac:dyDescent="0.25">
      <c r="B190" vm="313">
        <f ca="1"/>
        <v>45518</v>
      </c>
      <c r="C190" vm="718">
        <f ca="1"/>
        <v>220.8</v>
      </c>
    </row>
    <row r="191" spans="2:3" x14ac:dyDescent="0.25">
      <c r="B191" vm="315">
        <f ca="1"/>
        <v>45519</v>
      </c>
      <c r="C191" vm="719">
        <f ca="1"/>
        <v>220.6</v>
      </c>
    </row>
    <row r="192" spans="2:3" x14ac:dyDescent="0.25">
      <c r="B192" vm="317">
        <f ca="1"/>
        <v>45520</v>
      </c>
      <c r="C192" vm="720">
        <f ca="1"/>
        <v>222</v>
      </c>
    </row>
  </sheetData>
  <mergeCells count="4">
    <mergeCell ref="B2:C2"/>
    <mergeCell ref="B24:C24"/>
    <mergeCell ref="B33:C33"/>
    <mergeCell ref="B34:C34"/>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3726D-7AD2-4289-B69A-44CAF85B86B4}">
  <sheetPr codeName="Sheet15">
    <tabColor theme="9" tint="0.59999389629810485"/>
  </sheetPr>
  <dimension ref="B2:D192"/>
  <sheetViews>
    <sheetView showGridLines="0" workbookViewId="0">
      <selection activeCell="C28" sqref="C28"/>
    </sheetView>
  </sheetViews>
  <sheetFormatPr defaultRowHeight="15" x14ac:dyDescent="0.25"/>
  <cols>
    <col min="2" max="2" width="12.7109375" customWidth="1"/>
    <col min="3" max="3" width="16.140625" customWidth="1"/>
    <col min="4" max="4" width="10.140625" bestFit="1" customWidth="1"/>
    <col min="14" max="14" width="10.140625" bestFit="1" customWidth="1"/>
  </cols>
  <sheetData>
    <row r="2" spans="2:4" x14ac:dyDescent="0.25">
      <c r="B2" s="6" t="s">
        <v>18</v>
      </c>
      <c r="C2" s="6"/>
      <c r="D2" s="3"/>
    </row>
    <row r="24" spans="2:4" x14ac:dyDescent="0.25">
      <c r="B24" s="6" t="s">
        <v>19</v>
      </c>
      <c r="C24" s="6"/>
      <c r="D24" s="3"/>
    </row>
    <row r="25" spans="2:4" x14ac:dyDescent="0.25">
      <c r="B25" s="5" t="s">
        <v>20</v>
      </c>
      <c r="C25" s="4" t="s">
        <v>21</v>
      </c>
    </row>
    <row r="26" spans="2:4" x14ac:dyDescent="0.25">
      <c r="B26" s="5" t="s">
        <v>22</v>
      </c>
      <c r="C26" s="4" t="s">
        <v>23</v>
      </c>
    </row>
    <row r="27" spans="2:4" x14ac:dyDescent="0.25">
      <c r="B27" t="s">
        <v>2</v>
      </c>
      <c r="C27" t="e" vm="721">
        <v>#VALUE!</v>
      </c>
    </row>
    <row r="33" spans="2:3" x14ac:dyDescent="0.25">
      <c r="B33" s="6" t="s">
        <v>28</v>
      </c>
      <c r="C33" s="6"/>
    </row>
    <row r="34" spans="2:3" x14ac:dyDescent="0.25">
      <c r="B34" s="8" t="s">
        <v>29</v>
      </c>
      <c r="C34" s="8"/>
    </row>
    <row r="35" spans="2:3" x14ac:dyDescent="0.25">
      <c r="B35" cm="1" vm="2">
        <f t="array" aca="1" ref="B35:C192" ca="1">_xlfn.STOCKHISTORY(C27,DATE(2023,12,29),TODAY(),0,0,0,1)</f>
        <v>45289</v>
      </c>
      <c r="C35" vm="722">
        <f ca="1"/>
        <v>109.4</v>
      </c>
    </row>
    <row r="36" spans="2:3" x14ac:dyDescent="0.25">
      <c r="B36" vm="4">
        <f ca="1"/>
        <v>45293</v>
      </c>
      <c r="C36" vm="723">
        <f ca="1"/>
        <v>106</v>
      </c>
    </row>
    <row r="37" spans="2:3" x14ac:dyDescent="0.25">
      <c r="B37" vm="7">
        <f ca="1"/>
        <v>45294</v>
      </c>
      <c r="C37" vm="724">
        <f ca="1"/>
        <v>107.2</v>
      </c>
    </row>
    <row r="38" spans="2:3" x14ac:dyDescent="0.25">
      <c r="B38" vm="9">
        <f ca="1"/>
        <v>45295</v>
      </c>
      <c r="C38" vm="725">
        <f ca="1"/>
        <v>108</v>
      </c>
    </row>
    <row r="39" spans="2:3" x14ac:dyDescent="0.25">
      <c r="B39" vm="11">
        <f ca="1"/>
        <v>45296</v>
      </c>
      <c r="C39" vm="726">
        <f ca="1"/>
        <v>108.4</v>
      </c>
    </row>
    <row r="40" spans="2:3" x14ac:dyDescent="0.25">
      <c r="B40" vm="13">
        <f ca="1"/>
        <v>45299</v>
      </c>
      <c r="C40" vm="726">
        <f ca="1"/>
        <v>108.4</v>
      </c>
    </row>
    <row r="41" spans="2:3" x14ac:dyDescent="0.25">
      <c r="B41" vm="15">
        <f ca="1"/>
        <v>45300</v>
      </c>
      <c r="C41" vm="727">
        <f ca="1"/>
        <v>109.8</v>
      </c>
    </row>
    <row r="42" spans="2:3" x14ac:dyDescent="0.25">
      <c r="B42" vm="17">
        <f ca="1"/>
        <v>45301</v>
      </c>
      <c r="C42" vm="727">
        <f ca="1"/>
        <v>109.8</v>
      </c>
    </row>
    <row r="43" spans="2:3" x14ac:dyDescent="0.25">
      <c r="B43" vm="19">
        <f ca="1"/>
        <v>45302</v>
      </c>
      <c r="C43" vm="728">
        <f ca="1"/>
        <v>109.2</v>
      </c>
    </row>
    <row r="44" spans="2:3" x14ac:dyDescent="0.25">
      <c r="B44" vm="21">
        <f ca="1"/>
        <v>45303</v>
      </c>
      <c r="C44" vm="729">
        <f ca="1"/>
        <v>110</v>
      </c>
    </row>
    <row r="45" spans="2:3" x14ac:dyDescent="0.25">
      <c r="B45" vm="23">
        <f ca="1"/>
        <v>45306</v>
      </c>
      <c r="C45" vm="730">
        <f ca="1"/>
        <v>108.8</v>
      </c>
    </row>
    <row r="46" spans="2:3" x14ac:dyDescent="0.25">
      <c r="B46" vm="25">
        <f ca="1"/>
        <v>45307</v>
      </c>
      <c r="C46" vm="725">
        <f ca="1"/>
        <v>108</v>
      </c>
    </row>
    <row r="47" spans="2:3" x14ac:dyDescent="0.25">
      <c r="B47" vm="27">
        <f ca="1"/>
        <v>45308</v>
      </c>
      <c r="C47" vm="731">
        <f ca="1"/>
        <v>106.8</v>
      </c>
    </row>
    <row r="48" spans="2:3" x14ac:dyDescent="0.25">
      <c r="B48" vm="29">
        <f ca="1"/>
        <v>45309</v>
      </c>
      <c r="C48" vm="725">
        <f ca="1"/>
        <v>108</v>
      </c>
    </row>
    <row r="49" spans="2:3" x14ac:dyDescent="0.25">
      <c r="B49" vm="31">
        <f ca="1"/>
        <v>45310</v>
      </c>
      <c r="C49" vm="725">
        <f ca="1"/>
        <v>108</v>
      </c>
    </row>
    <row r="50" spans="2:3" x14ac:dyDescent="0.25">
      <c r="B50" vm="33">
        <f ca="1"/>
        <v>45313</v>
      </c>
      <c r="C50" vm="732">
        <f ca="1"/>
        <v>109.6</v>
      </c>
    </row>
    <row r="51" spans="2:3" x14ac:dyDescent="0.25">
      <c r="B51" vm="35">
        <f ca="1"/>
        <v>45314</v>
      </c>
      <c r="C51" vm="733">
        <f ca="1"/>
        <v>109</v>
      </c>
    </row>
    <row r="52" spans="2:3" x14ac:dyDescent="0.25">
      <c r="B52" vm="37">
        <f ca="1"/>
        <v>45315</v>
      </c>
      <c r="C52" vm="732">
        <f ca="1"/>
        <v>109.6</v>
      </c>
    </row>
    <row r="53" spans="2:3" x14ac:dyDescent="0.25">
      <c r="B53" vm="39">
        <f ca="1"/>
        <v>45316</v>
      </c>
      <c r="C53" vm="560">
        <f ca="1"/>
        <v>110.6</v>
      </c>
    </row>
    <row r="54" spans="2:3" x14ac:dyDescent="0.25">
      <c r="B54" vm="41">
        <f ca="1"/>
        <v>45317</v>
      </c>
      <c r="C54" vm="603">
        <f ca="1"/>
        <v>111</v>
      </c>
    </row>
    <row r="55" spans="2:3" x14ac:dyDescent="0.25">
      <c r="B55" vm="43">
        <f ca="1"/>
        <v>45320</v>
      </c>
      <c r="C55" vm="727">
        <f ca="1"/>
        <v>109.8</v>
      </c>
    </row>
    <row r="56" spans="2:3" x14ac:dyDescent="0.25">
      <c r="B56" vm="45">
        <f ca="1"/>
        <v>45321</v>
      </c>
      <c r="C56" vm="729">
        <f ca="1"/>
        <v>110</v>
      </c>
    </row>
    <row r="57" spans="2:3" x14ac:dyDescent="0.25">
      <c r="B57" vm="47">
        <f ca="1"/>
        <v>45322</v>
      </c>
      <c r="C57" vm="603">
        <f ca="1"/>
        <v>111</v>
      </c>
    </row>
    <row r="58" spans="2:3" x14ac:dyDescent="0.25">
      <c r="B58" vm="49">
        <f ca="1"/>
        <v>45323</v>
      </c>
      <c r="C58" vm="602">
        <f ca="1"/>
        <v>115</v>
      </c>
    </row>
    <row r="59" spans="2:3" x14ac:dyDescent="0.25">
      <c r="B59" vm="51">
        <f ca="1"/>
        <v>45324</v>
      </c>
      <c r="C59" vm="734">
        <f ca="1"/>
        <v>118.8</v>
      </c>
    </row>
    <row r="60" spans="2:3" x14ac:dyDescent="0.25">
      <c r="B60" vm="53">
        <f ca="1"/>
        <v>45327</v>
      </c>
      <c r="C60" vm="735">
        <f ca="1"/>
        <v>117.6</v>
      </c>
    </row>
    <row r="61" spans="2:3" x14ac:dyDescent="0.25">
      <c r="B61" vm="55">
        <f ca="1"/>
        <v>45328</v>
      </c>
      <c r="C61" vm="734">
        <f ca="1"/>
        <v>118.8</v>
      </c>
    </row>
    <row r="62" spans="2:3" x14ac:dyDescent="0.25">
      <c r="B62" vm="57">
        <f ca="1"/>
        <v>45329</v>
      </c>
      <c r="C62" vm="736">
        <f ca="1"/>
        <v>118</v>
      </c>
    </row>
    <row r="63" spans="2:3" x14ac:dyDescent="0.25">
      <c r="B63" vm="59">
        <f ca="1"/>
        <v>45330</v>
      </c>
      <c r="C63" vm="735">
        <f ca="1"/>
        <v>117.6</v>
      </c>
    </row>
    <row r="64" spans="2:3" x14ac:dyDescent="0.25">
      <c r="B64" vm="61">
        <f ca="1"/>
        <v>45331</v>
      </c>
      <c r="C64" vm="737">
        <f ca="1"/>
        <v>118.2</v>
      </c>
    </row>
    <row r="65" spans="2:3" x14ac:dyDescent="0.25">
      <c r="B65" vm="63">
        <f ca="1"/>
        <v>45334</v>
      </c>
      <c r="C65" vm="738">
        <f ca="1"/>
        <v>119.8</v>
      </c>
    </row>
    <row r="66" spans="2:3" x14ac:dyDescent="0.25">
      <c r="B66" vm="65">
        <f ca="1"/>
        <v>45335</v>
      </c>
      <c r="C66" vm="739">
        <f ca="1"/>
        <v>118.4</v>
      </c>
    </row>
    <row r="67" spans="2:3" x14ac:dyDescent="0.25">
      <c r="B67" vm="67">
        <f ca="1"/>
        <v>45336</v>
      </c>
      <c r="C67" vm="740">
        <f ca="1"/>
        <v>118.6</v>
      </c>
    </row>
    <row r="68" spans="2:3" x14ac:dyDescent="0.25">
      <c r="B68" vm="69">
        <f ca="1"/>
        <v>45337</v>
      </c>
      <c r="C68" vm="734">
        <f ca="1"/>
        <v>118.8</v>
      </c>
    </row>
    <row r="69" spans="2:3" x14ac:dyDescent="0.25">
      <c r="B69" vm="71">
        <f ca="1"/>
        <v>45338</v>
      </c>
      <c r="C69" vm="735">
        <f ca="1"/>
        <v>117.6</v>
      </c>
    </row>
    <row r="70" spans="2:3" x14ac:dyDescent="0.25">
      <c r="B70" vm="73">
        <f ca="1"/>
        <v>45341</v>
      </c>
      <c r="C70" vm="741">
        <f ca="1"/>
        <v>117.2</v>
      </c>
    </row>
    <row r="71" spans="2:3" x14ac:dyDescent="0.25">
      <c r="B71" vm="75">
        <f ca="1"/>
        <v>45342</v>
      </c>
      <c r="C71" vm="741">
        <f ca="1"/>
        <v>117.2</v>
      </c>
    </row>
    <row r="72" spans="2:3" x14ac:dyDescent="0.25">
      <c r="B72" vm="77">
        <f ca="1"/>
        <v>45343</v>
      </c>
      <c r="C72" vm="742">
        <f ca="1"/>
        <v>117</v>
      </c>
    </row>
    <row r="73" spans="2:3" x14ac:dyDescent="0.25">
      <c r="B73" vm="79">
        <f ca="1"/>
        <v>45344</v>
      </c>
      <c r="C73" vm="573">
        <f ca="1"/>
        <v>116.4</v>
      </c>
    </row>
    <row r="74" spans="2:3" x14ac:dyDescent="0.25">
      <c r="B74" vm="81">
        <f ca="1"/>
        <v>45345</v>
      </c>
      <c r="C74" vm="742">
        <f ca="1"/>
        <v>117</v>
      </c>
    </row>
    <row r="75" spans="2:3" x14ac:dyDescent="0.25">
      <c r="B75" vm="83">
        <f ca="1"/>
        <v>45348</v>
      </c>
      <c r="C75" vm="743">
        <f ca="1"/>
        <v>115.8</v>
      </c>
    </row>
    <row r="76" spans="2:3" x14ac:dyDescent="0.25">
      <c r="B76" vm="85">
        <f ca="1"/>
        <v>45349</v>
      </c>
      <c r="C76" vm="568">
        <f ca="1"/>
        <v>116</v>
      </c>
    </row>
    <row r="77" spans="2:3" x14ac:dyDescent="0.25">
      <c r="B77" vm="87">
        <f ca="1"/>
        <v>45350</v>
      </c>
      <c r="C77" vm="744">
        <f ca="1"/>
        <v>117.4</v>
      </c>
    </row>
    <row r="78" spans="2:3" x14ac:dyDescent="0.25">
      <c r="B78" vm="89">
        <f ca="1"/>
        <v>45351</v>
      </c>
      <c r="C78" vm="735">
        <f ca="1"/>
        <v>117.6</v>
      </c>
    </row>
    <row r="79" spans="2:3" x14ac:dyDescent="0.25">
      <c r="B79" vm="91">
        <f ca="1"/>
        <v>45352</v>
      </c>
      <c r="C79" vm="745">
        <f ca="1"/>
        <v>116.6</v>
      </c>
    </row>
    <row r="80" spans="2:3" x14ac:dyDescent="0.25">
      <c r="B80" vm="93">
        <f ca="1"/>
        <v>45355</v>
      </c>
      <c r="C80" vm="573">
        <f ca="1"/>
        <v>116.4</v>
      </c>
    </row>
    <row r="81" spans="2:3" x14ac:dyDescent="0.25">
      <c r="B81" vm="95">
        <f ca="1"/>
        <v>45356</v>
      </c>
      <c r="C81" vm="743">
        <f ca="1"/>
        <v>115.8</v>
      </c>
    </row>
    <row r="82" spans="2:3" x14ac:dyDescent="0.25">
      <c r="B82" vm="97">
        <f ca="1"/>
        <v>45357</v>
      </c>
      <c r="C82" vm="743">
        <f ca="1"/>
        <v>115.8</v>
      </c>
    </row>
    <row r="83" spans="2:3" x14ac:dyDescent="0.25">
      <c r="B83" vm="99">
        <f ca="1"/>
        <v>45358</v>
      </c>
      <c r="C83" vm="573">
        <f ca="1"/>
        <v>116.4</v>
      </c>
    </row>
    <row r="84" spans="2:3" x14ac:dyDescent="0.25">
      <c r="B84" vm="101">
        <f ca="1"/>
        <v>45359</v>
      </c>
      <c r="C84" vm="737">
        <f ca="1"/>
        <v>118.2</v>
      </c>
    </row>
    <row r="85" spans="2:3" x14ac:dyDescent="0.25">
      <c r="B85" vm="103">
        <f ca="1"/>
        <v>45362</v>
      </c>
      <c r="C85" vm="746">
        <f ca="1"/>
        <v>120</v>
      </c>
    </row>
    <row r="86" spans="2:3" x14ac:dyDescent="0.25">
      <c r="B86" vm="105">
        <f ca="1"/>
        <v>45363</v>
      </c>
      <c r="C86" vm="747">
        <f ca="1"/>
        <v>120.4</v>
      </c>
    </row>
    <row r="87" spans="2:3" x14ac:dyDescent="0.25">
      <c r="B87" vm="107">
        <f ca="1"/>
        <v>45364</v>
      </c>
      <c r="C87" vm="748">
        <f ca="1"/>
        <v>121.8</v>
      </c>
    </row>
    <row r="88" spans="2:3" x14ac:dyDescent="0.25">
      <c r="B88" vm="109">
        <f ca="1"/>
        <v>45365</v>
      </c>
      <c r="C88" vm="575">
        <f ca="1"/>
        <v>121.4</v>
      </c>
    </row>
    <row r="89" spans="2:3" x14ac:dyDescent="0.25">
      <c r="B89" vm="111">
        <f ca="1"/>
        <v>45366</v>
      </c>
      <c r="C89" vm="749">
        <f ca="1"/>
        <v>122</v>
      </c>
    </row>
    <row r="90" spans="2:3" x14ac:dyDescent="0.25">
      <c r="B90" vm="113">
        <f ca="1"/>
        <v>45369</v>
      </c>
      <c r="C90" vm="750">
        <f ca="1"/>
        <v>120.8</v>
      </c>
    </row>
    <row r="91" spans="2:3" x14ac:dyDescent="0.25">
      <c r="B91" vm="115">
        <f ca="1"/>
        <v>45370</v>
      </c>
      <c r="C91" vm="746">
        <f ca="1"/>
        <v>120</v>
      </c>
    </row>
    <row r="92" spans="2:3" x14ac:dyDescent="0.25">
      <c r="B92" vm="117">
        <f ca="1"/>
        <v>45371</v>
      </c>
      <c r="C92" vm="738">
        <f ca="1"/>
        <v>119.8</v>
      </c>
    </row>
    <row r="93" spans="2:3" x14ac:dyDescent="0.25">
      <c r="B93" vm="119">
        <f ca="1"/>
        <v>45372</v>
      </c>
      <c r="C93" vm="751">
        <f ca="1"/>
        <v>121.6</v>
      </c>
    </row>
    <row r="94" spans="2:3" x14ac:dyDescent="0.25">
      <c r="B94" vm="121">
        <f ca="1"/>
        <v>45373</v>
      </c>
      <c r="C94" vm="568">
        <f ca="1"/>
        <v>116</v>
      </c>
    </row>
    <row r="95" spans="2:3" x14ac:dyDescent="0.25">
      <c r="B95" vm="123">
        <f ca="1"/>
        <v>45376</v>
      </c>
      <c r="C95" vm="605">
        <f ca="1"/>
        <v>115.4</v>
      </c>
    </row>
    <row r="96" spans="2:3" x14ac:dyDescent="0.25">
      <c r="B96" vm="125">
        <f ca="1"/>
        <v>45377</v>
      </c>
      <c r="C96" vm="743">
        <f ca="1"/>
        <v>115.8</v>
      </c>
    </row>
    <row r="97" spans="2:3" x14ac:dyDescent="0.25">
      <c r="B97" vm="127">
        <f ca="1"/>
        <v>45378</v>
      </c>
      <c r="C97" vm="573">
        <f ca="1"/>
        <v>116.4</v>
      </c>
    </row>
    <row r="98" spans="2:3" x14ac:dyDescent="0.25">
      <c r="B98" vm="129">
        <f ca="1"/>
        <v>45384</v>
      </c>
      <c r="C98" vm="752">
        <f ca="1"/>
        <v>118.58</v>
      </c>
    </row>
    <row r="99" spans="2:3" x14ac:dyDescent="0.25">
      <c r="B99" vm="131">
        <f ca="1"/>
        <v>45385</v>
      </c>
      <c r="C99" vm="753">
        <f ca="1"/>
        <v>120.06</v>
      </c>
    </row>
    <row r="100" spans="2:3" x14ac:dyDescent="0.25">
      <c r="B100" vm="133">
        <f ca="1"/>
        <v>45386</v>
      </c>
      <c r="C100" vm="754">
        <f ca="1"/>
        <v>120.2</v>
      </c>
    </row>
    <row r="101" spans="2:3" x14ac:dyDescent="0.25">
      <c r="B101" vm="135">
        <f ca="1"/>
        <v>45387</v>
      </c>
      <c r="C101" vm="755">
        <f ca="1"/>
        <v>122.58</v>
      </c>
    </row>
    <row r="102" spans="2:3" x14ac:dyDescent="0.25">
      <c r="B102" vm="137">
        <f ca="1"/>
        <v>45390</v>
      </c>
      <c r="C102" vm="577">
        <f ca="1"/>
        <v>122.2</v>
      </c>
    </row>
    <row r="103" spans="2:3" x14ac:dyDescent="0.25">
      <c r="B103" vm="139">
        <f ca="1"/>
        <v>45391</v>
      </c>
      <c r="C103" vm="756">
        <f ca="1"/>
        <v>121.94</v>
      </c>
    </row>
    <row r="104" spans="2:3" x14ac:dyDescent="0.25">
      <c r="B104" vm="141">
        <f ca="1"/>
        <v>45392</v>
      </c>
      <c r="C104" vm="757">
        <f ca="1"/>
        <v>123.7</v>
      </c>
    </row>
    <row r="105" spans="2:3" x14ac:dyDescent="0.25">
      <c r="B105" vm="143">
        <f ca="1"/>
        <v>45393</v>
      </c>
      <c r="C105" vm="610">
        <f ca="1"/>
        <v>120.6</v>
      </c>
    </row>
    <row r="106" spans="2:3" x14ac:dyDescent="0.25">
      <c r="B106" vm="145">
        <f ca="1"/>
        <v>45394</v>
      </c>
      <c r="C106" vm="758">
        <f ca="1"/>
        <v>119.72</v>
      </c>
    </row>
    <row r="107" spans="2:3" x14ac:dyDescent="0.25">
      <c r="B107" vm="147">
        <f ca="1"/>
        <v>45397</v>
      </c>
      <c r="C107" vm="759">
        <f ca="1"/>
        <v>119</v>
      </c>
    </row>
    <row r="108" spans="2:3" x14ac:dyDescent="0.25">
      <c r="B108" vm="149">
        <f ca="1"/>
        <v>45398</v>
      </c>
      <c r="C108" vm="760">
        <f ca="1"/>
        <v>118.78</v>
      </c>
    </row>
    <row r="109" spans="2:3" x14ac:dyDescent="0.25">
      <c r="B109" vm="151">
        <f ca="1"/>
        <v>45399</v>
      </c>
      <c r="C109" vm="761">
        <f ca="1"/>
        <v>118.18</v>
      </c>
    </row>
    <row r="110" spans="2:3" x14ac:dyDescent="0.25">
      <c r="B110" vm="153">
        <f ca="1"/>
        <v>45400</v>
      </c>
      <c r="C110" vm="762">
        <f ca="1"/>
        <v>117.98</v>
      </c>
    </row>
    <row r="111" spans="2:3" x14ac:dyDescent="0.25">
      <c r="B111" vm="155">
        <f ca="1"/>
        <v>45401</v>
      </c>
      <c r="C111" vm="763">
        <f ca="1"/>
        <v>118.86</v>
      </c>
    </row>
    <row r="112" spans="2:3" x14ac:dyDescent="0.25">
      <c r="B112" vm="157">
        <f ca="1"/>
        <v>45404</v>
      </c>
      <c r="C112" vm="764">
        <f ca="1"/>
        <v>121.86</v>
      </c>
    </row>
    <row r="113" spans="2:3" x14ac:dyDescent="0.25">
      <c r="B113" vm="159">
        <f ca="1"/>
        <v>45405</v>
      </c>
      <c r="C113" vm="765">
        <f ca="1"/>
        <v>121.46</v>
      </c>
    </row>
    <row r="114" spans="2:3" x14ac:dyDescent="0.25">
      <c r="B114" vm="161">
        <f ca="1"/>
        <v>45406</v>
      </c>
      <c r="C114" vm="766">
        <f ca="1"/>
        <v>123.96</v>
      </c>
    </row>
    <row r="115" spans="2:3" x14ac:dyDescent="0.25">
      <c r="B115" vm="163">
        <f ca="1"/>
        <v>45407</v>
      </c>
      <c r="C115" vm="596">
        <f ca="1"/>
        <v>124.3</v>
      </c>
    </row>
    <row r="116" spans="2:3" x14ac:dyDescent="0.25">
      <c r="B116" vm="165">
        <f ca="1"/>
        <v>45408</v>
      </c>
      <c r="C116" vm="767">
        <f ca="1"/>
        <v>123.58</v>
      </c>
    </row>
    <row r="117" spans="2:3" x14ac:dyDescent="0.25">
      <c r="B117" vm="167">
        <f ca="1"/>
        <v>45411</v>
      </c>
      <c r="C117" vm="768">
        <f ca="1"/>
        <v>123.32</v>
      </c>
    </row>
    <row r="118" spans="2:3" x14ac:dyDescent="0.25">
      <c r="B118" vm="169">
        <f ca="1"/>
        <v>45412</v>
      </c>
      <c r="C118" vm="769">
        <f ca="1"/>
        <v>127.78</v>
      </c>
    </row>
    <row r="119" spans="2:3" x14ac:dyDescent="0.25">
      <c r="B119" vm="171">
        <f ca="1"/>
        <v>45414</v>
      </c>
      <c r="C119" vm="770">
        <f ca="1"/>
        <v>124.8</v>
      </c>
    </row>
    <row r="120" spans="2:3" x14ac:dyDescent="0.25">
      <c r="B120" vm="173">
        <f ca="1"/>
        <v>45415</v>
      </c>
      <c r="C120" vm="771">
        <f ca="1"/>
        <v>124.62</v>
      </c>
    </row>
    <row r="121" spans="2:3" x14ac:dyDescent="0.25">
      <c r="B121" vm="175">
        <f ca="1"/>
        <v>45418</v>
      </c>
      <c r="C121" vm="772">
        <f ca="1"/>
        <v>125.62</v>
      </c>
    </row>
    <row r="122" spans="2:3" x14ac:dyDescent="0.25">
      <c r="B122" vm="177">
        <f ca="1"/>
        <v>45419</v>
      </c>
      <c r="C122" vm="773">
        <f ca="1"/>
        <v>126.36</v>
      </c>
    </row>
    <row r="123" spans="2:3" x14ac:dyDescent="0.25">
      <c r="B123" vm="179">
        <f ca="1"/>
        <v>45420</v>
      </c>
      <c r="C123" vm="774">
        <f ca="1"/>
        <v>126.24</v>
      </c>
    </row>
    <row r="124" spans="2:3" x14ac:dyDescent="0.25">
      <c r="B124" vm="181">
        <f ca="1"/>
        <v>45422</v>
      </c>
      <c r="C124" vm="775">
        <f ca="1"/>
        <v>127.88</v>
      </c>
    </row>
    <row r="125" spans="2:3" x14ac:dyDescent="0.25">
      <c r="B125" vm="183">
        <f ca="1"/>
        <v>45425</v>
      </c>
      <c r="C125" vm="776">
        <f ca="1"/>
        <v>131.16</v>
      </c>
    </row>
    <row r="126" spans="2:3" x14ac:dyDescent="0.25">
      <c r="B126" vm="185">
        <f ca="1"/>
        <v>45426</v>
      </c>
      <c r="C126" vm="777">
        <f ca="1"/>
        <v>129.04</v>
      </c>
    </row>
    <row r="127" spans="2:3" x14ac:dyDescent="0.25">
      <c r="B127" vm="187">
        <f ca="1"/>
        <v>45427</v>
      </c>
      <c r="C127" vm="585">
        <f ca="1"/>
        <v>128.5</v>
      </c>
    </row>
    <row r="128" spans="2:3" x14ac:dyDescent="0.25">
      <c r="B128" vm="189">
        <f ca="1"/>
        <v>45428</v>
      </c>
      <c r="C128" vm="778">
        <f ca="1"/>
        <v>128.72</v>
      </c>
    </row>
    <row r="129" spans="2:3" x14ac:dyDescent="0.25">
      <c r="B129" vm="191">
        <f ca="1"/>
        <v>45433</v>
      </c>
      <c r="C129" vm="779">
        <f ca="1"/>
        <v>125.8</v>
      </c>
    </row>
    <row r="130" spans="2:3" x14ac:dyDescent="0.25">
      <c r="B130" vm="193">
        <f ca="1"/>
        <v>45434</v>
      </c>
      <c r="C130" vm="780">
        <f ca="1"/>
        <v>127.18</v>
      </c>
    </row>
    <row r="131" spans="2:3" x14ac:dyDescent="0.25">
      <c r="B131" vm="195">
        <f ca="1"/>
        <v>45435</v>
      </c>
      <c r="C131" vm="599">
        <f ca="1"/>
        <v>128.6</v>
      </c>
    </row>
    <row r="132" spans="2:3" x14ac:dyDescent="0.25">
      <c r="B132" vm="197">
        <f ca="1"/>
        <v>45436</v>
      </c>
      <c r="C132" vm="781">
        <f ca="1"/>
        <v>129</v>
      </c>
    </row>
    <row r="133" spans="2:3" x14ac:dyDescent="0.25">
      <c r="B133" vm="199">
        <f ca="1"/>
        <v>45439</v>
      </c>
      <c r="C133" vm="782">
        <f ca="1"/>
        <v>129.74</v>
      </c>
    </row>
    <row r="134" spans="2:3" x14ac:dyDescent="0.25">
      <c r="B134" vm="201">
        <f ca="1"/>
        <v>45440</v>
      </c>
      <c r="C134" vm="781">
        <f ca="1"/>
        <v>129</v>
      </c>
    </row>
    <row r="135" spans="2:3" x14ac:dyDescent="0.25">
      <c r="B135" vm="203">
        <f ca="1"/>
        <v>45441</v>
      </c>
      <c r="C135" vm="783">
        <f ca="1"/>
        <v>128.91999999999999</v>
      </c>
    </row>
    <row r="136" spans="2:3" x14ac:dyDescent="0.25">
      <c r="B136" vm="205">
        <f ca="1"/>
        <v>45442</v>
      </c>
      <c r="C136" vm="784">
        <f ca="1"/>
        <v>130</v>
      </c>
    </row>
    <row r="137" spans="2:3" x14ac:dyDescent="0.25">
      <c r="B137" vm="207">
        <f ca="1"/>
        <v>45443</v>
      </c>
      <c r="C137" vm="785">
        <f ca="1"/>
        <v>130.94</v>
      </c>
    </row>
    <row r="138" spans="2:3" x14ac:dyDescent="0.25">
      <c r="B138" vm="209">
        <f ca="1"/>
        <v>45446</v>
      </c>
      <c r="C138" vm="786">
        <f ca="1"/>
        <v>131.68</v>
      </c>
    </row>
    <row r="139" spans="2:3" x14ac:dyDescent="0.25">
      <c r="B139" vm="211">
        <f ca="1"/>
        <v>45447</v>
      </c>
      <c r="C139" vm="593">
        <f ca="1"/>
        <v>129.30000000000001</v>
      </c>
    </row>
    <row r="140" spans="2:3" x14ac:dyDescent="0.25">
      <c r="B140" vm="213">
        <f ca="1"/>
        <v>45448</v>
      </c>
      <c r="C140" vm="787">
        <f ca="1"/>
        <v>128.12</v>
      </c>
    </row>
    <row r="141" spans="2:3" x14ac:dyDescent="0.25">
      <c r="B141" vm="215">
        <f ca="1"/>
        <v>45449</v>
      </c>
      <c r="C141" vm="585">
        <f ca="1"/>
        <v>128.5</v>
      </c>
    </row>
    <row r="142" spans="2:3" x14ac:dyDescent="0.25">
      <c r="B142" vm="217">
        <f ca="1"/>
        <v>45450</v>
      </c>
      <c r="C142" vm="788">
        <f ca="1"/>
        <v>126.54</v>
      </c>
    </row>
    <row r="143" spans="2:3" x14ac:dyDescent="0.25">
      <c r="B143" vm="219">
        <f ca="1"/>
        <v>45453</v>
      </c>
      <c r="C143" vm="789">
        <f ca="1"/>
        <v>125.92</v>
      </c>
    </row>
    <row r="144" spans="2:3" x14ac:dyDescent="0.25">
      <c r="B144" vm="221">
        <f ca="1"/>
        <v>45454</v>
      </c>
      <c r="C144" vm="790">
        <f ca="1"/>
        <v>124.26</v>
      </c>
    </row>
    <row r="145" spans="2:3" x14ac:dyDescent="0.25">
      <c r="B145" vm="223">
        <f ca="1"/>
        <v>45455</v>
      </c>
      <c r="C145" vm="589">
        <f ca="1"/>
        <v>126.7</v>
      </c>
    </row>
    <row r="146" spans="2:3" x14ac:dyDescent="0.25">
      <c r="B146" vm="225">
        <f ca="1"/>
        <v>45456</v>
      </c>
      <c r="C146" vm="791">
        <f ca="1"/>
        <v>125.58</v>
      </c>
    </row>
    <row r="147" spans="2:3" x14ac:dyDescent="0.25">
      <c r="B147" vm="227">
        <f ca="1"/>
        <v>45457</v>
      </c>
      <c r="C147" vm="792">
        <f ca="1"/>
        <v>123.2</v>
      </c>
    </row>
    <row r="148" spans="2:3" x14ac:dyDescent="0.25">
      <c r="B148" vm="229">
        <f ca="1"/>
        <v>45460</v>
      </c>
      <c r="C148" vm="793">
        <f ca="1"/>
        <v>126.58</v>
      </c>
    </row>
    <row r="149" spans="2:3" x14ac:dyDescent="0.25">
      <c r="B149" vm="231">
        <f ca="1"/>
        <v>45461</v>
      </c>
      <c r="C149" vm="794">
        <f ca="1"/>
        <v>126.82</v>
      </c>
    </row>
    <row r="150" spans="2:3" x14ac:dyDescent="0.25">
      <c r="B150" vm="233">
        <f ca="1"/>
        <v>45462</v>
      </c>
      <c r="C150" vm="795">
        <f ca="1"/>
        <v>127.16</v>
      </c>
    </row>
    <row r="151" spans="2:3" x14ac:dyDescent="0.25">
      <c r="B151" vm="235">
        <f ca="1"/>
        <v>45463</v>
      </c>
      <c r="C151" vm="586">
        <f ca="1"/>
        <v>127.4</v>
      </c>
    </row>
    <row r="152" spans="2:3" x14ac:dyDescent="0.25">
      <c r="B152" vm="237">
        <f ca="1"/>
        <v>45464</v>
      </c>
      <c r="C152" vm="796">
        <f ca="1"/>
        <v>126.38</v>
      </c>
    </row>
    <row r="153" spans="2:3" x14ac:dyDescent="0.25">
      <c r="B153" vm="239">
        <f ca="1"/>
        <v>45467</v>
      </c>
      <c r="C153" vm="797">
        <f ca="1"/>
        <v>127.1</v>
      </c>
    </row>
    <row r="154" spans="2:3" x14ac:dyDescent="0.25">
      <c r="B154" vm="241">
        <f ca="1"/>
        <v>45468</v>
      </c>
      <c r="C154" vm="598">
        <f ca="1"/>
        <v>125.5</v>
      </c>
    </row>
    <row r="155" spans="2:3" x14ac:dyDescent="0.25">
      <c r="B155" vm="243">
        <f ca="1"/>
        <v>45469</v>
      </c>
      <c r="C155" vm="798">
        <f ca="1"/>
        <v>124.84</v>
      </c>
    </row>
    <row r="156" spans="2:3" x14ac:dyDescent="0.25">
      <c r="B156" vm="245">
        <f ca="1"/>
        <v>45470</v>
      </c>
      <c r="C156" vm="799">
        <f ca="1"/>
        <v>125.54</v>
      </c>
    </row>
    <row r="157" spans="2:3" x14ac:dyDescent="0.25">
      <c r="B157" vm="247">
        <f ca="1"/>
        <v>45471</v>
      </c>
      <c r="C157" vm="598">
        <f ca="1"/>
        <v>125.5</v>
      </c>
    </row>
    <row r="158" spans="2:3" x14ac:dyDescent="0.25">
      <c r="B158" vm="249">
        <f ca="1"/>
        <v>45474</v>
      </c>
      <c r="C158" vm="800">
        <f ca="1"/>
        <v>129.84</v>
      </c>
    </row>
    <row r="159" spans="2:3" x14ac:dyDescent="0.25">
      <c r="B159" vm="251">
        <f ca="1"/>
        <v>45475</v>
      </c>
      <c r="C159" vm="801">
        <f ca="1"/>
        <v>131.6</v>
      </c>
    </row>
    <row r="160" spans="2:3" x14ac:dyDescent="0.25">
      <c r="B160" vm="253">
        <f ca="1"/>
        <v>45476</v>
      </c>
      <c r="C160" vm="802">
        <f ca="1"/>
        <v>130.88</v>
      </c>
    </row>
    <row r="161" spans="2:3" x14ac:dyDescent="0.25">
      <c r="B161" vm="255">
        <f ca="1"/>
        <v>45477</v>
      </c>
      <c r="C161" vm="803">
        <f ca="1"/>
        <v>133.5</v>
      </c>
    </row>
    <row r="162" spans="2:3" x14ac:dyDescent="0.25">
      <c r="B162" vm="257">
        <f ca="1"/>
        <v>45478</v>
      </c>
      <c r="C162" vm="786">
        <f ca="1"/>
        <v>131.68</v>
      </c>
    </row>
    <row r="163" spans="2:3" x14ac:dyDescent="0.25">
      <c r="B163" vm="259">
        <f ca="1"/>
        <v>45481</v>
      </c>
      <c r="C163" vm="801">
        <f ca="1"/>
        <v>131.6</v>
      </c>
    </row>
    <row r="164" spans="2:3" x14ac:dyDescent="0.25">
      <c r="B164" vm="261">
        <f ca="1"/>
        <v>45482</v>
      </c>
      <c r="C164" vm="593">
        <f ca="1"/>
        <v>129.30000000000001</v>
      </c>
    </row>
    <row r="165" spans="2:3" x14ac:dyDescent="0.25">
      <c r="B165" vm="263">
        <f ca="1"/>
        <v>45483</v>
      </c>
      <c r="C165" vm="804">
        <f ca="1"/>
        <v>128</v>
      </c>
    </row>
    <row r="166" spans="2:3" x14ac:dyDescent="0.25">
      <c r="B166" vm="265">
        <f ca="1"/>
        <v>45484</v>
      </c>
      <c r="C166" vm="805">
        <f ca="1"/>
        <v>129.32</v>
      </c>
    </row>
    <row r="167" spans="2:3" x14ac:dyDescent="0.25">
      <c r="B167" vm="267">
        <f ca="1"/>
        <v>45485</v>
      </c>
      <c r="C167" vm="806">
        <f ca="1"/>
        <v>130.4</v>
      </c>
    </row>
    <row r="168" spans="2:3" x14ac:dyDescent="0.25">
      <c r="B168" vm="269">
        <f ca="1"/>
        <v>45488</v>
      </c>
      <c r="C168" vm="807">
        <f ca="1"/>
        <v>129.80000000000001</v>
      </c>
    </row>
    <row r="169" spans="2:3" x14ac:dyDescent="0.25">
      <c r="B169" vm="271">
        <f ca="1"/>
        <v>45489</v>
      </c>
      <c r="C169" vm="808">
        <f ca="1"/>
        <v>129.22</v>
      </c>
    </row>
    <row r="170" spans="2:3" x14ac:dyDescent="0.25">
      <c r="B170" vm="273">
        <f ca="1"/>
        <v>45490</v>
      </c>
      <c r="C170" vm="809">
        <f ca="1"/>
        <v>130.80000000000001</v>
      </c>
    </row>
    <row r="171" spans="2:3" x14ac:dyDescent="0.25">
      <c r="B171" vm="275">
        <f ca="1"/>
        <v>45491</v>
      </c>
      <c r="C171" vm="810">
        <f ca="1"/>
        <v>130.66</v>
      </c>
    </row>
    <row r="172" spans="2:3" x14ac:dyDescent="0.25">
      <c r="B172" vm="277">
        <f ca="1"/>
        <v>45492</v>
      </c>
      <c r="C172" vm="811">
        <f ca="1"/>
        <v>132.34</v>
      </c>
    </row>
    <row r="173" spans="2:3" x14ac:dyDescent="0.25">
      <c r="B173" vm="279">
        <f ca="1"/>
        <v>45495</v>
      </c>
      <c r="C173" vm="811">
        <f ca="1"/>
        <v>132.34</v>
      </c>
    </row>
    <row r="174" spans="2:3" x14ac:dyDescent="0.25">
      <c r="B174" vm="281">
        <f ca="1"/>
        <v>45496</v>
      </c>
      <c r="C174" vm="812">
        <f ca="1"/>
        <v>132.36000000000001</v>
      </c>
    </row>
    <row r="175" spans="2:3" x14ac:dyDescent="0.25">
      <c r="B175" vm="283">
        <f ca="1"/>
        <v>45497</v>
      </c>
      <c r="C175" vm="813">
        <f ca="1"/>
        <v>133.1</v>
      </c>
    </row>
    <row r="176" spans="2:3" x14ac:dyDescent="0.25">
      <c r="B176" vm="285">
        <f ca="1"/>
        <v>45498</v>
      </c>
      <c r="C176" vm="814">
        <f ca="1"/>
        <v>132.32</v>
      </c>
    </row>
    <row r="177" spans="2:3" x14ac:dyDescent="0.25">
      <c r="B177" vm="287">
        <f ca="1"/>
        <v>45499</v>
      </c>
      <c r="C177" vm="815">
        <f ca="1"/>
        <v>133.74</v>
      </c>
    </row>
    <row r="178" spans="2:3" x14ac:dyDescent="0.25">
      <c r="B178" vm="289">
        <f ca="1"/>
        <v>45502</v>
      </c>
      <c r="C178" vm="816">
        <f ca="1"/>
        <v>136</v>
      </c>
    </row>
    <row r="179" spans="2:3" x14ac:dyDescent="0.25">
      <c r="B179" vm="291">
        <f ca="1"/>
        <v>45503</v>
      </c>
      <c r="C179" vm="817">
        <f ca="1"/>
        <v>136.5</v>
      </c>
    </row>
    <row r="180" spans="2:3" x14ac:dyDescent="0.25">
      <c r="B180" vm="293">
        <f ca="1"/>
        <v>45504</v>
      </c>
      <c r="C180" vm="818">
        <f ca="1"/>
        <v>140</v>
      </c>
    </row>
    <row r="181" spans="2:3" x14ac:dyDescent="0.25">
      <c r="B181" vm="295">
        <f ca="1"/>
        <v>45505</v>
      </c>
      <c r="C181" vm="819">
        <f ca="1"/>
        <v>137.24</v>
      </c>
    </row>
    <row r="182" spans="2:3" x14ac:dyDescent="0.25">
      <c r="B182" vm="297">
        <f ca="1"/>
        <v>45506</v>
      </c>
      <c r="C182" vm="820">
        <f ca="1"/>
        <v>133.30000000000001</v>
      </c>
    </row>
    <row r="183" spans="2:3" x14ac:dyDescent="0.25">
      <c r="B183" vm="299">
        <f ca="1"/>
        <v>45509</v>
      </c>
      <c r="C183" vm="805">
        <f ca="1"/>
        <v>129.32</v>
      </c>
    </row>
    <row r="184" spans="2:3" x14ac:dyDescent="0.25">
      <c r="B184" vm="301">
        <f ca="1"/>
        <v>45510</v>
      </c>
      <c r="C184" vm="821">
        <f ca="1"/>
        <v>129.46</v>
      </c>
    </row>
    <row r="185" spans="2:3" x14ac:dyDescent="0.25">
      <c r="B185" vm="303">
        <f ca="1"/>
        <v>45511</v>
      </c>
      <c r="C185" vm="811">
        <f ca="1"/>
        <v>132.34</v>
      </c>
    </row>
    <row r="186" spans="2:3" x14ac:dyDescent="0.25">
      <c r="B186" vm="305">
        <f ca="1"/>
        <v>45512</v>
      </c>
      <c r="C186" vm="822">
        <f ca="1"/>
        <v>132.5</v>
      </c>
    </row>
    <row r="187" spans="2:3" x14ac:dyDescent="0.25">
      <c r="B187" vm="307">
        <f ca="1"/>
        <v>45513</v>
      </c>
      <c r="C187" vm="823">
        <f ca="1"/>
        <v>133.22</v>
      </c>
    </row>
    <row r="188" spans="2:3" x14ac:dyDescent="0.25">
      <c r="B188" vm="309">
        <f ca="1"/>
        <v>45516</v>
      </c>
      <c r="C188" vm="803">
        <f ca="1"/>
        <v>133.5</v>
      </c>
    </row>
    <row r="189" spans="2:3" x14ac:dyDescent="0.25">
      <c r="B189" vm="311">
        <f ca="1"/>
        <v>45517</v>
      </c>
      <c r="C189" vm="824">
        <f ca="1"/>
        <v>135.80000000000001</v>
      </c>
    </row>
    <row r="190" spans="2:3" x14ac:dyDescent="0.25">
      <c r="B190" vm="313">
        <f ca="1"/>
        <v>45518</v>
      </c>
      <c r="C190" vm="825">
        <f ca="1"/>
        <v>137.6</v>
      </c>
    </row>
    <row r="191" spans="2:3" x14ac:dyDescent="0.25">
      <c r="B191" vm="315">
        <f ca="1"/>
        <v>45519</v>
      </c>
      <c r="C191" vm="825">
        <f ca="1"/>
        <v>137.6</v>
      </c>
    </row>
    <row r="192" spans="2:3" x14ac:dyDescent="0.25">
      <c r="B192" vm="317">
        <f ca="1"/>
        <v>45520</v>
      </c>
      <c r="C192" vm="826">
        <f ca="1"/>
        <v>137.62</v>
      </c>
    </row>
  </sheetData>
  <mergeCells count="4">
    <mergeCell ref="B2:C2"/>
    <mergeCell ref="B24:C24"/>
    <mergeCell ref="B33:C33"/>
    <mergeCell ref="B34:C34"/>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FBF30-5030-4E5B-8A42-65FA3C8A8823}">
  <sheetPr codeName="Sheet16">
    <tabColor theme="9" tint="0.59999389629810485"/>
  </sheetPr>
  <dimension ref="B2:D192"/>
  <sheetViews>
    <sheetView showGridLines="0" topLeftCell="A16" workbookViewId="0">
      <selection activeCell="C27" sqref="C27"/>
    </sheetView>
  </sheetViews>
  <sheetFormatPr defaultRowHeight="15" x14ac:dyDescent="0.25"/>
  <cols>
    <col min="2" max="2" width="12.7109375" customWidth="1"/>
    <col min="3" max="3" width="16.140625" customWidth="1"/>
    <col min="4" max="4" width="10.140625" bestFit="1" customWidth="1"/>
    <col min="14" max="14" width="10.140625" bestFit="1" customWidth="1"/>
  </cols>
  <sheetData>
    <row r="2" spans="2:4" x14ac:dyDescent="0.25">
      <c r="B2" s="6" t="s">
        <v>18</v>
      </c>
      <c r="C2" s="6"/>
      <c r="D2" s="3"/>
    </row>
    <row r="24" spans="2:4" x14ac:dyDescent="0.25">
      <c r="B24" s="6" t="s">
        <v>19</v>
      </c>
      <c r="C24" s="6"/>
      <c r="D24" s="3"/>
    </row>
    <row r="25" spans="2:4" x14ac:dyDescent="0.25">
      <c r="B25" s="5" t="s">
        <v>20</v>
      </c>
      <c r="C25" s="4" t="s">
        <v>21</v>
      </c>
    </row>
    <row r="26" spans="2:4" x14ac:dyDescent="0.25">
      <c r="B26" s="5" t="s">
        <v>22</v>
      </c>
      <c r="C26" s="4" t="s">
        <v>23</v>
      </c>
    </row>
    <row r="27" spans="2:4" x14ac:dyDescent="0.25">
      <c r="B27" t="s">
        <v>2</v>
      </c>
      <c r="C27" t="e" vm="827">
        <v>#VALUE!</v>
      </c>
    </row>
    <row r="33" spans="2:3" x14ac:dyDescent="0.25">
      <c r="B33" s="6" t="s">
        <v>28</v>
      </c>
      <c r="C33" s="6"/>
    </row>
    <row r="34" spans="2:3" x14ac:dyDescent="0.25">
      <c r="B34" s="8" t="s">
        <v>29</v>
      </c>
      <c r="C34" s="8"/>
    </row>
    <row r="35" spans="2:3" x14ac:dyDescent="0.25">
      <c r="B35" cm="1" vm="2">
        <f t="array" aca="1" ref="B35:C192" ca="1">_xlfn.STOCKHISTORY(C27,DATE(2023,12,29),TODAY(),0,0,0,1)</f>
        <v>45289</v>
      </c>
      <c r="C35" vm="828">
        <f ca="1"/>
        <v>132.19999999999999</v>
      </c>
    </row>
    <row r="36" spans="2:3" x14ac:dyDescent="0.25">
      <c r="B36" vm="4">
        <f ca="1"/>
        <v>45293</v>
      </c>
      <c r="C36" vm="829">
        <f ca="1"/>
        <v>134</v>
      </c>
    </row>
    <row r="37" spans="2:3" x14ac:dyDescent="0.25">
      <c r="B37" vm="7">
        <f ca="1"/>
        <v>45294</v>
      </c>
      <c r="C37" vm="830">
        <f ca="1"/>
        <v>133.4</v>
      </c>
    </row>
    <row r="38" spans="2:3" x14ac:dyDescent="0.25">
      <c r="B38" vm="9">
        <f ca="1"/>
        <v>45295</v>
      </c>
      <c r="C38" vm="831">
        <f ca="1"/>
        <v>134.30000000000001</v>
      </c>
    </row>
    <row r="39" spans="2:3" x14ac:dyDescent="0.25">
      <c r="B39" vm="11">
        <f ca="1"/>
        <v>45296</v>
      </c>
      <c r="C39" vm="832">
        <f ca="1"/>
        <v>130.5</v>
      </c>
    </row>
    <row r="40" spans="2:3" x14ac:dyDescent="0.25">
      <c r="B40" vm="13">
        <f ca="1"/>
        <v>45299</v>
      </c>
      <c r="C40" vm="833">
        <f ca="1"/>
        <v>129.9</v>
      </c>
    </row>
    <row r="41" spans="2:3" x14ac:dyDescent="0.25">
      <c r="B41" vm="15">
        <f ca="1"/>
        <v>45300</v>
      </c>
      <c r="C41" vm="722">
        <f ca="1"/>
        <v>109.4</v>
      </c>
    </row>
    <row r="42" spans="2:3" x14ac:dyDescent="0.25">
      <c r="B42" vm="17">
        <f ca="1"/>
        <v>45301</v>
      </c>
      <c r="C42" vm="834">
        <f ca="1"/>
        <v>110.3</v>
      </c>
    </row>
    <row r="43" spans="2:3" x14ac:dyDescent="0.25">
      <c r="B43" vm="19">
        <f ca="1"/>
        <v>45302</v>
      </c>
      <c r="C43" vm="835">
        <f ca="1"/>
        <v>111.6</v>
      </c>
    </row>
    <row r="44" spans="2:3" x14ac:dyDescent="0.25">
      <c r="B44" vm="21">
        <f ca="1"/>
        <v>45303</v>
      </c>
      <c r="C44" vm="732">
        <f ca="1"/>
        <v>109.6</v>
      </c>
    </row>
    <row r="45" spans="2:3" x14ac:dyDescent="0.25">
      <c r="B45" vm="23">
        <f ca="1"/>
        <v>45306</v>
      </c>
      <c r="C45" vm="836">
        <f ca="1"/>
        <v>108.5</v>
      </c>
    </row>
    <row r="46" spans="2:3" x14ac:dyDescent="0.25">
      <c r="B46" vm="25">
        <f ca="1"/>
        <v>45307</v>
      </c>
      <c r="C46" vm="557">
        <f ca="1"/>
        <v>110.8</v>
      </c>
    </row>
    <row r="47" spans="2:3" x14ac:dyDescent="0.25">
      <c r="B47" vm="27">
        <f ca="1"/>
        <v>45308</v>
      </c>
      <c r="C47" vm="837">
        <f ca="1"/>
        <v>108.9</v>
      </c>
    </row>
    <row r="48" spans="2:3" x14ac:dyDescent="0.25">
      <c r="B48" vm="29">
        <f ca="1"/>
        <v>45309</v>
      </c>
      <c r="C48" vm="838">
        <f ca="1"/>
        <v>107.4</v>
      </c>
    </row>
    <row r="49" spans="2:3" x14ac:dyDescent="0.25">
      <c r="B49" vm="31">
        <f ca="1"/>
        <v>45310</v>
      </c>
      <c r="C49" vm="839">
        <f ca="1"/>
        <v>103.2</v>
      </c>
    </row>
    <row r="50" spans="2:3" x14ac:dyDescent="0.25">
      <c r="B50" vm="33">
        <f ca="1"/>
        <v>45313</v>
      </c>
      <c r="C50" vm="840">
        <f ca="1"/>
        <v>102.3</v>
      </c>
    </row>
    <row r="51" spans="2:3" x14ac:dyDescent="0.25">
      <c r="B51" vm="35">
        <f ca="1"/>
        <v>45314</v>
      </c>
      <c r="C51" vm="841">
        <f ca="1"/>
        <v>101.8</v>
      </c>
    </row>
    <row r="52" spans="2:3" x14ac:dyDescent="0.25">
      <c r="B52" vm="37">
        <f ca="1"/>
        <v>45315</v>
      </c>
      <c r="C52" vm="842">
        <f ca="1"/>
        <v>104.6</v>
      </c>
    </row>
    <row r="53" spans="2:3" x14ac:dyDescent="0.25">
      <c r="B53" vm="39">
        <f ca="1"/>
        <v>45316</v>
      </c>
      <c r="C53" vm="843">
        <f ca="1"/>
        <v>106.1</v>
      </c>
    </row>
    <row r="54" spans="2:3" x14ac:dyDescent="0.25">
      <c r="B54" vm="41">
        <f ca="1"/>
        <v>45317</v>
      </c>
      <c r="C54" vm="844">
        <f ca="1"/>
        <v>105.8</v>
      </c>
    </row>
    <row r="55" spans="2:3" x14ac:dyDescent="0.25">
      <c r="B55" vm="43">
        <f ca="1"/>
        <v>45320</v>
      </c>
      <c r="C55" vm="845">
        <f ca="1"/>
        <v>103.9</v>
      </c>
    </row>
    <row r="56" spans="2:3" x14ac:dyDescent="0.25">
      <c r="B56" vm="45">
        <f ca="1"/>
        <v>45321</v>
      </c>
      <c r="C56" vm="846">
        <f ca="1"/>
        <v>100.5</v>
      </c>
    </row>
    <row r="57" spans="2:3" x14ac:dyDescent="0.25">
      <c r="B57" vm="47">
        <f ca="1"/>
        <v>45322</v>
      </c>
      <c r="C57" vm="549">
        <f ca="1"/>
        <v>103.3</v>
      </c>
    </row>
    <row r="58" spans="2:3" x14ac:dyDescent="0.25">
      <c r="B58" vm="49">
        <f ca="1"/>
        <v>45323</v>
      </c>
      <c r="C58" vm="847">
        <f ca="1"/>
        <v>101.7</v>
      </c>
    </row>
    <row r="59" spans="2:3" x14ac:dyDescent="0.25">
      <c r="B59" vm="51">
        <f ca="1"/>
        <v>45324</v>
      </c>
      <c r="C59" vm="848">
        <f ca="1"/>
        <v>99.8</v>
      </c>
    </row>
    <row r="60" spans="2:3" x14ac:dyDescent="0.25">
      <c r="B60" vm="53">
        <f ca="1"/>
        <v>45327</v>
      </c>
      <c r="C60" vm="849">
        <f ca="1"/>
        <v>96.5</v>
      </c>
    </row>
    <row r="61" spans="2:3" x14ac:dyDescent="0.25">
      <c r="B61" vm="55">
        <f ca="1"/>
        <v>45328</v>
      </c>
      <c r="C61" vm="850">
        <f ca="1"/>
        <v>97.8</v>
      </c>
    </row>
    <row r="62" spans="2:3" x14ac:dyDescent="0.25">
      <c r="B62" vm="57">
        <f ca="1"/>
        <v>45329</v>
      </c>
      <c r="C62" vm="851">
        <f ca="1"/>
        <v>95.75</v>
      </c>
    </row>
    <row r="63" spans="2:3" x14ac:dyDescent="0.25">
      <c r="B63" vm="59">
        <f ca="1"/>
        <v>45330</v>
      </c>
      <c r="C63" vm="852">
        <f ca="1"/>
        <v>97.5</v>
      </c>
    </row>
    <row r="64" spans="2:3" x14ac:dyDescent="0.25">
      <c r="B64" vm="61">
        <f ca="1"/>
        <v>45331</v>
      </c>
      <c r="C64" vm="853">
        <f ca="1"/>
        <v>96</v>
      </c>
    </row>
    <row r="65" spans="2:3" x14ac:dyDescent="0.25">
      <c r="B65" vm="63">
        <f ca="1"/>
        <v>45334</v>
      </c>
      <c r="C65" vm="550">
        <f ca="1"/>
        <v>100.3</v>
      </c>
    </row>
    <row r="66" spans="2:3" x14ac:dyDescent="0.25">
      <c r="B66" vm="65">
        <f ca="1"/>
        <v>45335</v>
      </c>
      <c r="C66" vm="854">
        <f ca="1"/>
        <v>98.85</v>
      </c>
    </row>
    <row r="67" spans="2:3" x14ac:dyDescent="0.25">
      <c r="B67" vm="67">
        <f ca="1"/>
        <v>45336</v>
      </c>
      <c r="C67" vm="853">
        <f ca="1"/>
        <v>96</v>
      </c>
    </row>
    <row r="68" spans="2:3" x14ac:dyDescent="0.25">
      <c r="B68" vm="69">
        <f ca="1"/>
        <v>45337</v>
      </c>
      <c r="C68" vm="855">
        <f ca="1"/>
        <v>99.15</v>
      </c>
    </row>
    <row r="69" spans="2:3" x14ac:dyDescent="0.25">
      <c r="B69" vm="71">
        <f ca="1"/>
        <v>45338</v>
      </c>
      <c r="C69" vm="856">
        <f ca="1"/>
        <v>105.2</v>
      </c>
    </row>
    <row r="70" spans="2:3" x14ac:dyDescent="0.25">
      <c r="B70" vm="73">
        <f ca="1"/>
        <v>45341</v>
      </c>
      <c r="C70" vm="548">
        <f ca="1"/>
        <v>102.9</v>
      </c>
    </row>
    <row r="71" spans="2:3" x14ac:dyDescent="0.25">
      <c r="B71" vm="75">
        <f ca="1"/>
        <v>45342</v>
      </c>
      <c r="C71" vm="857">
        <f ca="1"/>
        <v>101</v>
      </c>
    </row>
    <row r="72" spans="2:3" x14ac:dyDescent="0.25">
      <c r="B72" vm="77">
        <f ca="1"/>
        <v>45343</v>
      </c>
      <c r="C72" vm="858">
        <f ca="1"/>
        <v>100.6</v>
      </c>
    </row>
    <row r="73" spans="2:3" x14ac:dyDescent="0.25">
      <c r="B73" vm="79">
        <f ca="1"/>
        <v>45344</v>
      </c>
      <c r="C73" vm="859">
        <f ca="1"/>
        <v>99.3</v>
      </c>
    </row>
    <row r="74" spans="2:3" x14ac:dyDescent="0.25">
      <c r="B74" vm="81">
        <f ca="1"/>
        <v>45345</v>
      </c>
      <c r="C74" vm="860">
        <f ca="1"/>
        <v>98</v>
      </c>
    </row>
    <row r="75" spans="2:3" x14ac:dyDescent="0.25">
      <c r="B75" vm="83">
        <f ca="1"/>
        <v>45348</v>
      </c>
      <c r="C75" vm="861">
        <f ca="1"/>
        <v>99.6</v>
      </c>
    </row>
    <row r="76" spans="2:3" x14ac:dyDescent="0.25">
      <c r="B76" vm="85">
        <f ca="1"/>
        <v>45349</v>
      </c>
      <c r="C76" vm="862">
        <f ca="1"/>
        <v>100.2</v>
      </c>
    </row>
    <row r="77" spans="2:3" x14ac:dyDescent="0.25">
      <c r="B77" vm="87">
        <f ca="1"/>
        <v>45350</v>
      </c>
      <c r="C77" vm="863">
        <f ca="1"/>
        <v>100.8</v>
      </c>
    </row>
    <row r="78" spans="2:3" x14ac:dyDescent="0.25">
      <c r="B78" vm="89">
        <f ca="1"/>
        <v>45351</v>
      </c>
      <c r="C78" vm="864">
        <f ca="1"/>
        <v>104.5</v>
      </c>
    </row>
    <row r="79" spans="2:3" x14ac:dyDescent="0.25">
      <c r="B79" vm="91">
        <f ca="1"/>
        <v>45352</v>
      </c>
      <c r="C79" vm="865">
        <f ca="1"/>
        <v>106.3</v>
      </c>
    </row>
    <row r="80" spans="2:3" x14ac:dyDescent="0.25">
      <c r="B80" vm="93">
        <f ca="1"/>
        <v>45355</v>
      </c>
      <c r="C80" vm="552">
        <f ca="1"/>
        <v>104.1</v>
      </c>
    </row>
    <row r="81" spans="2:3" x14ac:dyDescent="0.25">
      <c r="B81" vm="95">
        <f ca="1"/>
        <v>45356</v>
      </c>
      <c r="C81" vm="866">
        <f ca="1"/>
        <v>103.1</v>
      </c>
    </row>
    <row r="82" spans="2:3" x14ac:dyDescent="0.25">
      <c r="B82" vm="97">
        <f ca="1"/>
        <v>45357</v>
      </c>
      <c r="C82" vm="867">
        <f ca="1"/>
        <v>107</v>
      </c>
    </row>
    <row r="83" spans="2:3" x14ac:dyDescent="0.25">
      <c r="B83" vm="99">
        <f ca="1"/>
        <v>45358</v>
      </c>
      <c r="C83" vm="730">
        <f ca="1"/>
        <v>108.8</v>
      </c>
    </row>
    <row r="84" spans="2:3" x14ac:dyDescent="0.25">
      <c r="B84" vm="101">
        <f ca="1"/>
        <v>45359</v>
      </c>
      <c r="C84" vm="868">
        <f ca="1"/>
        <v>106.5</v>
      </c>
    </row>
    <row r="85" spans="2:3" x14ac:dyDescent="0.25">
      <c r="B85" vm="103">
        <f ca="1"/>
        <v>45362</v>
      </c>
      <c r="C85" vm="869">
        <f ca="1"/>
        <v>104</v>
      </c>
    </row>
    <row r="86" spans="2:3" x14ac:dyDescent="0.25">
      <c r="B86" vm="105">
        <f ca="1"/>
        <v>45363</v>
      </c>
      <c r="C86" vm="555">
        <f ca="1"/>
        <v>107.6</v>
      </c>
    </row>
    <row r="87" spans="2:3" x14ac:dyDescent="0.25">
      <c r="B87" vm="107">
        <f ca="1"/>
        <v>45364</v>
      </c>
      <c r="C87" vm="726">
        <f ca="1"/>
        <v>108.4</v>
      </c>
    </row>
    <row r="88" spans="2:3" x14ac:dyDescent="0.25">
      <c r="B88" vm="109">
        <f ca="1"/>
        <v>45365</v>
      </c>
      <c r="C88" vm="868">
        <f ca="1"/>
        <v>106.5</v>
      </c>
    </row>
    <row r="89" spans="2:3" x14ac:dyDescent="0.25">
      <c r="B89" vm="111">
        <f ca="1"/>
        <v>45366</v>
      </c>
      <c r="C89" vm="722">
        <f ca="1"/>
        <v>109.4</v>
      </c>
    </row>
    <row r="90" spans="2:3" x14ac:dyDescent="0.25">
      <c r="B90" vm="113">
        <f ca="1"/>
        <v>45369</v>
      </c>
      <c r="C90" vm="870">
        <f ca="1"/>
        <v>110.9</v>
      </c>
    </row>
    <row r="91" spans="2:3" x14ac:dyDescent="0.25">
      <c r="B91" vm="115">
        <f ca="1"/>
        <v>45370</v>
      </c>
      <c r="C91" vm="871">
        <f ca="1"/>
        <v>109.5</v>
      </c>
    </row>
    <row r="92" spans="2:3" x14ac:dyDescent="0.25">
      <c r="B92" vm="117">
        <f ca="1"/>
        <v>45371</v>
      </c>
      <c r="C92" vm="732">
        <f ca="1"/>
        <v>109.6</v>
      </c>
    </row>
    <row r="93" spans="2:3" x14ac:dyDescent="0.25">
      <c r="B93" vm="119">
        <f ca="1"/>
        <v>45372</v>
      </c>
      <c r="C93" vm="872">
        <f ca="1"/>
        <v>113.3</v>
      </c>
    </row>
    <row r="94" spans="2:3" x14ac:dyDescent="0.25">
      <c r="B94" vm="121">
        <f ca="1"/>
        <v>45373</v>
      </c>
      <c r="C94" vm="604">
        <f ca="1"/>
        <v>112.8</v>
      </c>
    </row>
    <row r="95" spans="2:3" x14ac:dyDescent="0.25">
      <c r="B95" vm="123">
        <f ca="1"/>
        <v>45376</v>
      </c>
      <c r="C95" vm="564">
        <f ca="1"/>
        <v>117.7</v>
      </c>
    </row>
    <row r="96" spans="2:3" x14ac:dyDescent="0.25">
      <c r="B96" vm="125">
        <f ca="1"/>
        <v>45377</v>
      </c>
      <c r="C96" vm="873">
        <f ca="1"/>
        <v>117.9</v>
      </c>
    </row>
    <row r="97" spans="2:3" x14ac:dyDescent="0.25">
      <c r="B97" vm="127">
        <f ca="1"/>
        <v>45378</v>
      </c>
      <c r="C97" vm="737">
        <f ca="1"/>
        <v>118.2</v>
      </c>
    </row>
    <row r="98" spans="2:3" x14ac:dyDescent="0.25">
      <c r="B98" vm="129">
        <f ca="1"/>
        <v>45384</v>
      </c>
      <c r="C98" vm="578">
        <f ca="1"/>
        <v>121.1</v>
      </c>
    </row>
    <row r="99" spans="2:3" x14ac:dyDescent="0.25">
      <c r="B99" vm="131">
        <f ca="1"/>
        <v>45385</v>
      </c>
      <c r="C99" vm="575">
        <f ca="1"/>
        <v>121.4</v>
      </c>
    </row>
    <row r="100" spans="2:3" x14ac:dyDescent="0.25">
      <c r="B100" vm="133">
        <f ca="1"/>
        <v>45386</v>
      </c>
      <c r="C100" vm="578">
        <f ca="1"/>
        <v>121.1</v>
      </c>
    </row>
    <row r="101" spans="2:3" x14ac:dyDescent="0.25">
      <c r="B101" vm="135">
        <f ca="1"/>
        <v>45387</v>
      </c>
      <c r="C101" vm="750">
        <f ca="1"/>
        <v>120.8</v>
      </c>
    </row>
    <row r="102" spans="2:3" x14ac:dyDescent="0.25">
      <c r="B102" vm="137">
        <f ca="1"/>
        <v>45390</v>
      </c>
      <c r="C102" vm="874">
        <f ca="1"/>
        <v>119.3</v>
      </c>
    </row>
    <row r="103" spans="2:3" x14ac:dyDescent="0.25">
      <c r="B103" vm="139">
        <f ca="1"/>
        <v>45391</v>
      </c>
      <c r="C103" vm="784">
        <f ca="1"/>
        <v>130</v>
      </c>
    </row>
    <row r="104" spans="2:3" x14ac:dyDescent="0.25">
      <c r="B104" vm="141">
        <f ca="1"/>
        <v>45392</v>
      </c>
      <c r="C104" vm="813">
        <f ca="1"/>
        <v>133.1</v>
      </c>
    </row>
    <row r="105" spans="2:3" x14ac:dyDescent="0.25">
      <c r="B105" vm="143">
        <f ca="1"/>
        <v>45393</v>
      </c>
      <c r="C105" vm="875">
        <f ca="1"/>
        <v>131.9</v>
      </c>
    </row>
    <row r="106" spans="2:3" x14ac:dyDescent="0.25">
      <c r="B106" vm="145">
        <f ca="1"/>
        <v>45394</v>
      </c>
      <c r="C106" vm="876">
        <f ca="1"/>
        <v>136.6</v>
      </c>
    </row>
    <row r="107" spans="2:3" x14ac:dyDescent="0.25">
      <c r="B107" vm="147">
        <f ca="1"/>
        <v>45397</v>
      </c>
      <c r="C107" vm="877">
        <f ca="1"/>
        <v>135</v>
      </c>
    </row>
    <row r="108" spans="2:3" x14ac:dyDescent="0.25">
      <c r="B108" vm="149">
        <f ca="1"/>
        <v>45398</v>
      </c>
      <c r="C108" vm="878">
        <f ca="1"/>
        <v>131.19999999999999</v>
      </c>
    </row>
    <row r="109" spans="2:3" x14ac:dyDescent="0.25">
      <c r="B109" vm="151">
        <f ca="1"/>
        <v>45399</v>
      </c>
      <c r="C109" vm="879">
        <f ca="1"/>
        <v>132.69999999999999</v>
      </c>
    </row>
    <row r="110" spans="2:3" x14ac:dyDescent="0.25">
      <c r="B110" vm="153">
        <f ca="1"/>
        <v>45400</v>
      </c>
      <c r="C110" vm="880">
        <f ca="1"/>
        <v>131.4</v>
      </c>
    </row>
    <row r="111" spans="2:3" x14ac:dyDescent="0.25">
      <c r="B111" vm="155">
        <f ca="1"/>
        <v>45401</v>
      </c>
      <c r="C111" vm="593">
        <f ca="1"/>
        <v>129.30000000000001</v>
      </c>
    </row>
    <row r="112" spans="2:3" x14ac:dyDescent="0.25">
      <c r="B112" vm="157">
        <f ca="1"/>
        <v>45404</v>
      </c>
      <c r="C112" vm="881">
        <f ca="1"/>
        <v>127.8</v>
      </c>
    </row>
    <row r="113" spans="2:3" x14ac:dyDescent="0.25">
      <c r="B113" vm="159">
        <f ca="1"/>
        <v>45405</v>
      </c>
      <c r="C113" vm="882">
        <f ca="1"/>
        <v>125.9</v>
      </c>
    </row>
    <row r="114" spans="2:3" x14ac:dyDescent="0.25">
      <c r="B114" vm="161">
        <f ca="1"/>
        <v>45406</v>
      </c>
      <c r="C114" vm="883">
        <f ca="1"/>
        <v>126.1</v>
      </c>
    </row>
    <row r="115" spans="2:3" x14ac:dyDescent="0.25">
      <c r="B115" vm="163">
        <f ca="1"/>
        <v>45407</v>
      </c>
      <c r="C115" vm="884">
        <f ca="1"/>
        <v>125.6</v>
      </c>
    </row>
    <row r="116" spans="2:3" x14ac:dyDescent="0.25">
      <c r="B116" vm="165">
        <f ca="1"/>
        <v>45408</v>
      </c>
      <c r="C116" vm="806">
        <f ca="1"/>
        <v>130.4</v>
      </c>
    </row>
    <row r="117" spans="2:3" x14ac:dyDescent="0.25">
      <c r="B117" vm="167">
        <f ca="1"/>
        <v>45411</v>
      </c>
      <c r="C117" vm="885">
        <f ca="1"/>
        <v>129.5</v>
      </c>
    </row>
    <row r="118" spans="2:3" x14ac:dyDescent="0.25">
      <c r="B118" vm="169">
        <f ca="1"/>
        <v>45412</v>
      </c>
      <c r="C118" vm="886">
        <f ca="1"/>
        <v>127.2</v>
      </c>
    </row>
    <row r="119" spans="2:3" x14ac:dyDescent="0.25">
      <c r="B119" vm="171">
        <f ca="1"/>
        <v>45414</v>
      </c>
      <c r="C119" vm="887">
        <f ca="1"/>
        <v>122.7</v>
      </c>
    </row>
    <row r="120" spans="2:3" x14ac:dyDescent="0.25">
      <c r="B120" vm="173">
        <f ca="1"/>
        <v>45415</v>
      </c>
      <c r="C120" vm="746">
        <f ca="1"/>
        <v>120</v>
      </c>
    </row>
    <row r="121" spans="2:3" x14ac:dyDescent="0.25">
      <c r="B121" vm="175">
        <f ca="1"/>
        <v>45418</v>
      </c>
      <c r="C121" vm="610">
        <f ca="1"/>
        <v>120.6</v>
      </c>
    </row>
    <row r="122" spans="2:3" x14ac:dyDescent="0.25">
      <c r="B122" vm="177">
        <f ca="1"/>
        <v>45419</v>
      </c>
      <c r="C122" vm="581">
        <f ca="1"/>
        <v>123.5</v>
      </c>
    </row>
    <row r="123" spans="2:3" x14ac:dyDescent="0.25">
      <c r="B123" vm="179">
        <f ca="1"/>
        <v>45420</v>
      </c>
      <c r="C123" vm="887">
        <f ca="1"/>
        <v>122.7</v>
      </c>
    </row>
    <row r="124" spans="2:3" x14ac:dyDescent="0.25">
      <c r="B124" vm="181">
        <f ca="1"/>
        <v>45422</v>
      </c>
      <c r="C124" vm="888">
        <f ca="1"/>
        <v>119.6</v>
      </c>
    </row>
    <row r="125" spans="2:3" x14ac:dyDescent="0.25">
      <c r="B125" vm="183">
        <f ca="1"/>
        <v>45425</v>
      </c>
      <c r="C125" vm="889">
        <f ca="1"/>
        <v>117.3</v>
      </c>
    </row>
    <row r="126" spans="2:3" x14ac:dyDescent="0.25">
      <c r="B126" vm="185">
        <f ca="1"/>
        <v>45426</v>
      </c>
      <c r="C126" vm="890">
        <f ca="1"/>
        <v>118.1</v>
      </c>
    </row>
    <row r="127" spans="2:3" x14ac:dyDescent="0.25">
      <c r="B127" vm="187">
        <f ca="1"/>
        <v>45427</v>
      </c>
      <c r="C127" vm="742">
        <f ca="1"/>
        <v>117</v>
      </c>
    </row>
    <row r="128" spans="2:3" x14ac:dyDescent="0.25">
      <c r="B128" vm="189">
        <f ca="1"/>
        <v>45428</v>
      </c>
      <c r="C128" vm="747">
        <f ca="1"/>
        <v>120.4</v>
      </c>
    </row>
    <row r="129" spans="2:3" x14ac:dyDescent="0.25">
      <c r="B129" vm="191">
        <f ca="1"/>
        <v>45433</v>
      </c>
      <c r="C129" vm="891">
        <f ca="1"/>
        <v>119.9</v>
      </c>
    </row>
    <row r="130" spans="2:3" x14ac:dyDescent="0.25">
      <c r="B130" vm="193">
        <f ca="1"/>
        <v>45434</v>
      </c>
      <c r="C130" vm="892">
        <f ca="1"/>
        <v>118.9</v>
      </c>
    </row>
    <row r="131" spans="2:3" x14ac:dyDescent="0.25">
      <c r="B131" vm="195">
        <f ca="1"/>
        <v>45435</v>
      </c>
      <c r="C131" vm="893">
        <f ca="1"/>
        <v>123.6</v>
      </c>
    </row>
    <row r="132" spans="2:3" x14ac:dyDescent="0.25">
      <c r="B132" vm="197">
        <f ca="1"/>
        <v>45436</v>
      </c>
      <c r="C132" vm="894">
        <f ca="1"/>
        <v>124.9</v>
      </c>
    </row>
    <row r="133" spans="2:3" x14ac:dyDescent="0.25">
      <c r="B133" vm="199">
        <f ca="1"/>
        <v>45439</v>
      </c>
      <c r="C133" vm="895">
        <f ca="1"/>
        <v>129.4</v>
      </c>
    </row>
    <row r="134" spans="2:3" x14ac:dyDescent="0.25">
      <c r="B134" vm="201">
        <f ca="1"/>
        <v>45440</v>
      </c>
      <c r="C134" vm="896">
        <f ca="1"/>
        <v>130.19999999999999</v>
      </c>
    </row>
    <row r="135" spans="2:3" x14ac:dyDescent="0.25">
      <c r="B135" vm="203">
        <f ca="1"/>
        <v>45441</v>
      </c>
      <c r="C135" vm="600">
        <f ca="1"/>
        <v>130.30000000000001</v>
      </c>
    </row>
    <row r="136" spans="2:3" x14ac:dyDescent="0.25">
      <c r="B136" vm="205">
        <f ca="1"/>
        <v>45442</v>
      </c>
      <c r="C136" vm="897">
        <f ca="1"/>
        <v>135.5</v>
      </c>
    </row>
    <row r="137" spans="2:3" x14ac:dyDescent="0.25">
      <c r="B137" vm="207">
        <f ca="1"/>
        <v>45443</v>
      </c>
      <c r="C137" vm="898">
        <f ca="1"/>
        <v>137</v>
      </c>
    </row>
    <row r="138" spans="2:3" x14ac:dyDescent="0.25">
      <c r="B138" vm="209">
        <f ca="1"/>
        <v>45446</v>
      </c>
      <c r="C138" vm="899">
        <f ca="1"/>
        <v>133.6</v>
      </c>
    </row>
    <row r="139" spans="2:3" x14ac:dyDescent="0.25">
      <c r="B139" vm="211">
        <f ca="1"/>
        <v>45447</v>
      </c>
      <c r="C139" vm="900">
        <f ca="1"/>
        <v>123.9</v>
      </c>
    </row>
    <row r="140" spans="2:3" x14ac:dyDescent="0.25">
      <c r="B140" vm="213">
        <f ca="1"/>
        <v>45448</v>
      </c>
      <c r="C140" vm="901">
        <f ca="1"/>
        <v>122.3</v>
      </c>
    </row>
    <row r="141" spans="2:3" x14ac:dyDescent="0.25">
      <c r="B141" vm="215">
        <f ca="1"/>
        <v>45449</v>
      </c>
      <c r="C141" vm="589">
        <f ca="1"/>
        <v>126.7</v>
      </c>
    </row>
    <row r="142" spans="2:3" x14ac:dyDescent="0.25">
      <c r="B142" vm="217">
        <f ca="1"/>
        <v>45450</v>
      </c>
      <c r="C142" vm="599">
        <f ca="1"/>
        <v>128.6</v>
      </c>
    </row>
    <row r="143" spans="2:3" x14ac:dyDescent="0.25">
      <c r="B143" vm="219">
        <f ca="1"/>
        <v>45453</v>
      </c>
      <c r="C143" vm="804">
        <f ca="1"/>
        <v>128</v>
      </c>
    </row>
    <row r="144" spans="2:3" x14ac:dyDescent="0.25">
      <c r="B144" vm="221">
        <f ca="1"/>
        <v>45454</v>
      </c>
      <c r="C144" vm="902">
        <f ca="1"/>
        <v>124.2</v>
      </c>
    </row>
    <row r="145" spans="2:3" x14ac:dyDescent="0.25">
      <c r="B145" vm="223">
        <f ca="1"/>
        <v>45455</v>
      </c>
      <c r="C145" vm="903">
        <f ca="1"/>
        <v>125.4</v>
      </c>
    </row>
    <row r="146" spans="2:3" x14ac:dyDescent="0.25">
      <c r="B146" vm="225">
        <f ca="1"/>
        <v>45456</v>
      </c>
      <c r="C146" vm="747">
        <f ca="1"/>
        <v>120.4</v>
      </c>
    </row>
    <row r="147" spans="2:3" x14ac:dyDescent="0.25">
      <c r="B147" vm="227">
        <f ca="1"/>
        <v>45457</v>
      </c>
      <c r="C147" vm="904">
        <f ca="1"/>
        <v>115.5</v>
      </c>
    </row>
    <row r="148" spans="2:3" x14ac:dyDescent="0.25">
      <c r="B148" vm="229">
        <f ca="1"/>
        <v>45460</v>
      </c>
      <c r="C148" vm="748">
        <f ca="1"/>
        <v>121.8</v>
      </c>
    </row>
    <row r="149" spans="2:3" x14ac:dyDescent="0.25">
      <c r="B149" vm="231">
        <f ca="1"/>
        <v>45461</v>
      </c>
      <c r="C149" vm="905">
        <f ca="1"/>
        <v>123</v>
      </c>
    </row>
    <row r="150" spans="2:3" x14ac:dyDescent="0.25">
      <c r="B150" vm="233">
        <f ca="1"/>
        <v>45462</v>
      </c>
      <c r="C150" vm="746">
        <f ca="1"/>
        <v>120</v>
      </c>
    </row>
    <row r="151" spans="2:3" x14ac:dyDescent="0.25">
      <c r="B151" vm="235">
        <f ca="1"/>
        <v>45463</v>
      </c>
      <c r="C151" vm="575">
        <f ca="1"/>
        <v>121.4</v>
      </c>
    </row>
    <row r="152" spans="2:3" x14ac:dyDescent="0.25">
      <c r="B152" vm="237">
        <f ca="1"/>
        <v>45464</v>
      </c>
      <c r="C152" vm="746">
        <f ca="1"/>
        <v>120</v>
      </c>
    </row>
    <row r="153" spans="2:3" x14ac:dyDescent="0.25">
      <c r="B153" vm="239">
        <f ca="1"/>
        <v>45467</v>
      </c>
      <c r="C153" vm="893">
        <f ca="1"/>
        <v>123.6</v>
      </c>
    </row>
    <row r="154" spans="2:3" x14ac:dyDescent="0.25">
      <c r="B154" vm="241">
        <f ca="1"/>
        <v>45468</v>
      </c>
      <c r="C154" vm="906">
        <f ca="1"/>
        <v>121.3</v>
      </c>
    </row>
    <row r="155" spans="2:3" x14ac:dyDescent="0.25">
      <c r="B155" vm="243">
        <f ca="1"/>
        <v>45469</v>
      </c>
      <c r="C155" vm="907">
        <f ca="1"/>
        <v>121.5</v>
      </c>
    </row>
    <row r="156" spans="2:3" x14ac:dyDescent="0.25">
      <c r="B156" vm="245">
        <f ca="1"/>
        <v>45470</v>
      </c>
      <c r="C156" vm="903">
        <f ca="1"/>
        <v>125.4</v>
      </c>
    </row>
    <row r="157" spans="2:3" x14ac:dyDescent="0.25">
      <c r="B157" vm="247">
        <f ca="1"/>
        <v>45471</v>
      </c>
      <c r="C157" vm="908">
        <f ca="1"/>
        <v>128.19999999999999</v>
      </c>
    </row>
    <row r="158" spans="2:3" x14ac:dyDescent="0.25">
      <c r="B158" vm="249">
        <f ca="1"/>
        <v>45474</v>
      </c>
      <c r="C158" vm="909">
        <f ca="1"/>
        <v>129.6</v>
      </c>
    </row>
    <row r="159" spans="2:3" x14ac:dyDescent="0.25">
      <c r="B159" vm="251">
        <f ca="1"/>
        <v>45475</v>
      </c>
      <c r="C159" vm="910">
        <f ca="1"/>
        <v>131.69999999999999</v>
      </c>
    </row>
    <row r="160" spans="2:3" x14ac:dyDescent="0.25">
      <c r="B160" vm="253">
        <f ca="1"/>
        <v>45476</v>
      </c>
      <c r="C160" vm="911">
        <f ca="1"/>
        <v>131.5</v>
      </c>
    </row>
    <row r="161" spans="2:3" x14ac:dyDescent="0.25">
      <c r="B161" vm="255">
        <f ca="1"/>
        <v>45477</v>
      </c>
      <c r="C161" vm="912">
        <f ca="1"/>
        <v>129.69999999999999</v>
      </c>
    </row>
    <row r="162" spans="2:3" x14ac:dyDescent="0.25">
      <c r="B162" vm="257">
        <f ca="1"/>
        <v>45478</v>
      </c>
      <c r="C162" vm="913">
        <f ca="1"/>
        <v>131.80000000000001</v>
      </c>
    </row>
    <row r="163" spans="2:3" x14ac:dyDescent="0.25">
      <c r="B163" vm="259">
        <f ca="1"/>
        <v>45481</v>
      </c>
      <c r="C163" vm="886">
        <f ca="1"/>
        <v>127.2</v>
      </c>
    </row>
    <row r="164" spans="2:3" x14ac:dyDescent="0.25">
      <c r="B164" vm="261">
        <f ca="1"/>
        <v>45482</v>
      </c>
      <c r="C164" vm="591">
        <f ca="1"/>
        <v>128.9</v>
      </c>
    </row>
    <row r="165" spans="2:3" x14ac:dyDescent="0.25">
      <c r="B165" vm="263">
        <f ca="1"/>
        <v>45483</v>
      </c>
      <c r="C165" vm="914">
        <f ca="1"/>
        <v>128.4</v>
      </c>
    </row>
    <row r="166" spans="2:3" x14ac:dyDescent="0.25">
      <c r="B166" vm="265">
        <f ca="1"/>
        <v>45484</v>
      </c>
      <c r="C166" vm="588">
        <f ca="1"/>
        <v>125.1</v>
      </c>
    </row>
    <row r="167" spans="2:3" x14ac:dyDescent="0.25">
      <c r="B167" vm="267">
        <f ca="1"/>
        <v>45485</v>
      </c>
      <c r="C167" vm="583">
        <f ca="1"/>
        <v>127.5</v>
      </c>
    </row>
    <row r="168" spans="2:3" x14ac:dyDescent="0.25">
      <c r="B168" vm="269">
        <f ca="1"/>
        <v>45488</v>
      </c>
      <c r="C168" vm="915">
        <f ca="1"/>
        <v>126.9</v>
      </c>
    </row>
    <row r="169" spans="2:3" x14ac:dyDescent="0.25">
      <c r="B169" vm="271">
        <f ca="1"/>
        <v>45489</v>
      </c>
      <c r="C169" vm="779">
        <f ca="1"/>
        <v>125.8</v>
      </c>
    </row>
    <row r="170" spans="2:3" x14ac:dyDescent="0.25">
      <c r="B170" vm="273">
        <f ca="1"/>
        <v>45490</v>
      </c>
      <c r="C170" vm="916">
        <f ca="1"/>
        <v>131</v>
      </c>
    </row>
    <row r="171" spans="2:3" x14ac:dyDescent="0.25">
      <c r="B171" vm="275">
        <f ca="1"/>
        <v>45491</v>
      </c>
      <c r="C171" vm="917">
        <f ca="1"/>
        <v>137.1</v>
      </c>
    </row>
    <row r="172" spans="2:3" x14ac:dyDescent="0.25">
      <c r="B172" vm="277">
        <f ca="1"/>
        <v>45492</v>
      </c>
      <c r="C172" vm="918">
        <f ca="1"/>
        <v>138</v>
      </c>
    </row>
    <row r="173" spans="2:3" x14ac:dyDescent="0.25">
      <c r="B173" vm="279">
        <f ca="1"/>
        <v>45495</v>
      </c>
      <c r="C173" vm="919">
        <f ca="1"/>
        <v>138.80000000000001</v>
      </c>
    </row>
    <row r="174" spans="2:3" x14ac:dyDescent="0.25">
      <c r="B174" vm="281">
        <f ca="1"/>
        <v>45496</v>
      </c>
      <c r="C174" vm="816">
        <f ca="1"/>
        <v>136</v>
      </c>
    </row>
    <row r="175" spans="2:3" x14ac:dyDescent="0.25">
      <c r="B175" vm="283">
        <f ca="1"/>
        <v>45497</v>
      </c>
      <c r="C175" vm="920">
        <f ca="1"/>
        <v>135.19999999999999</v>
      </c>
    </row>
    <row r="176" spans="2:3" x14ac:dyDescent="0.25">
      <c r="B176" vm="285">
        <f ca="1"/>
        <v>45498</v>
      </c>
      <c r="C176" vm="921">
        <f ca="1"/>
        <v>132.80000000000001</v>
      </c>
    </row>
    <row r="177" spans="2:3" x14ac:dyDescent="0.25">
      <c r="B177" vm="287">
        <f ca="1"/>
        <v>45499</v>
      </c>
      <c r="C177" vm="898">
        <f ca="1"/>
        <v>137</v>
      </c>
    </row>
    <row r="178" spans="2:3" x14ac:dyDescent="0.25">
      <c r="B178" vm="289">
        <f ca="1"/>
        <v>45502</v>
      </c>
      <c r="C178" vm="877">
        <f ca="1"/>
        <v>135</v>
      </c>
    </row>
    <row r="179" spans="2:3" x14ac:dyDescent="0.25">
      <c r="B179" vm="291">
        <f ca="1"/>
        <v>45503</v>
      </c>
      <c r="C179" vm="922">
        <f ca="1"/>
        <v>132.9</v>
      </c>
    </row>
    <row r="180" spans="2:3" x14ac:dyDescent="0.25">
      <c r="B180" vm="293">
        <f ca="1"/>
        <v>45504</v>
      </c>
      <c r="C180" vm="923">
        <f ca="1"/>
        <v>133.69999999999999</v>
      </c>
    </row>
    <row r="181" spans="2:3" x14ac:dyDescent="0.25">
      <c r="B181" vm="295">
        <f ca="1"/>
        <v>45505</v>
      </c>
      <c r="C181" vm="924">
        <f ca="1"/>
        <v>131.30000000000001</v>
      </c>
    </row>
    <row r="182" spans="2:3" x14ac:dyDescent="0.25">
      <c r="B182" vm="297">
        <f ca="1"/>
        <v>45506</v>
      </c>
      <c r="C182" vm="925">
        <f ca="1"/>
        <v>126.5</v>
      </c>
    </row>
    <row r="183" spans="2:3" x14ac:dyDescent="0.25">
      <c r="B183" vm="299">
        <f ca="1"/>
        <v>45509</v>
      </c>
      <c r="C183" vm="741">
        <f ca="1"/>
        <v>117.2</v>
      </c>
    </row>
    <row r="184" spans="2:3" x14ac:dyDescent="0.25">
      <c r="B184" vm="301">
        <f ca="1"/>
        <v>45510</v>
      </c>
      <c r="C184" vm="737">
        <f ca="1"/>
        <v>118.2</v>
      </c>
    </row>
    <row r="185" spans="2:3" x14ac:dyDescent="0.25">
      <c r="B185" vm="303">
        <f ca="1"/>
        <v>45511</v>
      </c>
      <c r="C185" vm="754">
        <f ca="1"/>
        <v>120.2</v>
      </c>
    </row>
    <row r="186" spans="2:3" x14ac:dyDescent="0.25">
      <c r="B186" vm="305">
        <f ca="1"/>
        <v>45512</v>
      </c>
      <c r="C186" vm="750">
        <f ca="1"/>
        <v>120.8</v>
      </c>
    </row>
    <row r="187" spans="2:3" x14ac:dyDescent="0.25">
      <c r="B187" vm="307">
        <f ca="1"/>
        <v>45513</v>
      </c>
      <c r="C187" vm="576">
        <f ca="1"/>
        <v>122.5</v>
      </c>
    </row>
    <row r="188" spans="2:3" x14ac:dyDescent="0.25">
      <c r="B188" vm="309">
        <f ca="1"/>
        <v>45516</v>
      </c>
      <c r="C188" vm="926">
        <f ca="1"/>
        <v>123.3</v>
      </c>
    </row>
    <row r="189" spans="2:3" x14ac:dyDescent="0.25">
      <c r="B189" vm="311">
        <f ca="1"/>
        <v>45517</v>
      </c>
      <c r="C189" vm="927">
        <f ca="1"/>
        <v>122.6</v>
      </c>
    </row>
    <row r="190" spans="2:3" x14ac:dyDescent="0.25">
      <c r="B190" vm="313">
        <f ca="1"/>
        <v>45518</v>
      </c>
      <c r="C190" vm="928">
        <f ca="1"/>
        <v>124.1</v>
      </c>
    </row>
    <row r="191" spans="2:3" x14ac:dyDescent="0.25">
      <c r="B191" vm="315">
        <f ca="1"/>
        <v>45519</v>
      </c>
      <c r="C191" vm="902">
        <f ca="1"/>
        <v>124.2</v>
      </c>
    </row>
    <row r="192" spans="2:3" x14ac:dyDescent="0.25">
      <c r="B192" vm="317">
        <f ca="1"/>
        <v>45520</v>
      </c>
      <c r="C192" vm="929">
        <f ca="1"/>
        <v>125.2</v>
      </c>
    </row>
  </sheetData>
  <mergeCells count="4">
    <mergeCell ref="B2:C2"/>
    <mergeCell ref="B24:C24"/>
    <mergeCell ref="B33:C33"/>
    <mergeCell ref="B34:C34"/>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5EC84-E492-46B5-8FF3-BCADB7CA0AE7}">
  <sheetPr codeName="Sheet17">
    <tabColor theme="9" tint="0.59999389629810485"/>
  </sheetPr>
  <dimension ref="B2:D192"/>
  <sheetViews>
    <sheetView showGridLines="0" topLeftCell="A16" workbookViewId="0">
      <selection activeCell="C28" sqref="C28"/>
    </sheetView>
  </sheetViews>
  <sheetFormatPr defaultRowHeight="15" x14ac:dyDescent="0.25"/>
  <cols>
    <col min="2" max="2" width="12.7109375" customWidth="1"/>
    <col min="3" max="3" width="16.140625" customWidth="1"/>
    <col min="4" max="4" width="10.140625" bestFit="1" customWidth="1"/>
    <col min="14" max="14" width="10.140625" bestFit="1" customWidth="1"/>
  </cols>
  <sheetData>
    <row r="2" spans="2:4" x14ac:dyDescent="0.25">
      <c r="B2" s="6" t="s">
        <v>18</v>
      </c>
      <c r="C2" s="6"/>
      <c r="D2" s="3"/>
    </row>
    <row r="24" spans="2:4" x14ac:dyDescent="0.25">
      <c r="B24" s="6" t="s">
        <v>19</v>
      </c>
      <c r="C24" s="6"/>
      <c r="D24" s="3"/>
    </row>
    <row r="25" spans="2:4" x14ac:dyDescent="0.25">
      <c r="B25" s="5" t="s">
        <v>20</v>
      </c>
      <c r="C25" s="4" t="s">
        <v>21</v>
      </c>
    </row>
    <row r="26" spans="2:4" x14ac:dyDescent="0.25">
      <c r="B26" s="5" t="s">
        <v>22</v>
      </c>
      <c r="C26" s="4" t="s">
        <v>23</v>
      </c>
    </row>
    <row r="27" spans="2:4" x14ac:dyDescent="0.25">
      <c r="B27" t="s">
        <v>2</v>
      </c>
      <c r="C27" t="e" vm="930">
        <v>#VALUE!</v>
      </c>
    </row>
    <row r="33" spans="2:3" x14ac:dyDescent="0.25">
      <c r="B33" s="6" t="s">
        <v>28</v>
      </c>
      <c r="C33" s="6"/>
    </row>
    <row r="34" spans="2:3" x14ac:dyDescent="0.25">
      <c r="B34" s="8" t="s">
        <v>29</v>
      </c>
      <c r="C34" s="8"/>
    </row>
    <row r="35" spans="2:3" x14ac:dyDescent="0.25">
      <c r="B35" cm="1" vm="2">
        <f t="array" aca="1" ref="B35:C192" ca="1">_xlfn.STOCKHISTORY(C27,DATE(2023,12,29),TODAY(),0,0,0,1)</f>
        <v>45289</v>
      </c>
      <c r="C35" vm="931">
        <f ca="1"/>
        <v>465.4</v>
      </c>
    </row>
    <row r="36" spans="2:3" x14ac:dyDescent="0.25">
      <c r="B36" vm="4">
        <f ca="1"/>
        <v>45293</v>
      </c>
      <c r="C36" vm="932">
        <f ca="1"/>
        <v>471</v>
      </c>
    </row>
    <row r="37" spans="2:3" x14ac:dyDescent="0.25">
      <c r="B37" vm="7">
        <f ca="1"/>
        <v>45294</v>
      </c>
      <c r="C37" vm="933">
        <f ca="1"/>
        <v>470.8</v>
      </c>
    </row>
    <row r="38" spans="2:3" x14ac:dyDescent="0.25">
      <c r="B38" vm="9">
        <f ca="1"/>
        <v>45295</v>
      </c>
      <c r="C38" vm="934">
        <f ca="1"/>
        <v>482.8</v>
      </c>
    </row>
    <row r="39" spans="2:3" x14ac:dyDescent="0.25">
      <c r="B39" vm="11">
        <f ca="1"/>
        <v>45296</v>
      </c>
      <c r="C39" vm="935">
        <f ca="1"/>
        <v>483.2</v>
      </c>
    </row>
    <row r="40" spans="2:3" x14ac:dyDescent="0.25">
      <c r="B40" vm="13">
        <f ca="1"/>
        <v>45299</v>
      </c>
      <c r="C40" vm="936">
        <f ca="1"/>
        <v>481.8</v>
      </c>
    </row>
    <row r="41" spans="2:3" x14ac:dyDescent="0.25">
      <c r="B41" vm="15">
        <f ca="1"/>
        <v>45300</v>
      </c>
      <c r="C41" vm="937">
        <f ca="1"/>
        <v>495.4</v>
      </c>
    </row>
    <row r="42" spans="2:3" x14ac:dyDescent="0.25">
      <c r="B42" vm="17">
        <f ca="1"/>
        <v>45301</v>
      </c>
      <c r="C42" vm="938">
        <f ca="1"/>
        <v>499.8</v>
      </c>
    </row>
    <row r="43" spans="2:3" x14ac:dyDescent="0.25">
      <c r="B43" vm="19">
        <f ca="1"/>
        <v>45302</v>
      </c>
      <c r="C43" vm="939">
        <f ca="1"/>
        <v>505</v>
      </c>
    </row>
    <row r="44" spans="2:3" x14ac:dyDescent="0.25">
      <c r="B44" vm="21">
        <f ca="1"/>
        <v>45303</v>
      </c>
      <c r="C44" vm="940">
        <f ca="1"/>
        <v>513.5</v>
      </c>
    </row>
    <row r="45" spans="2:3" x14ac:dyDescent="0.25">
      <c r="B45" vm="23">
        <f ca="1"/>
        <v>45306</v>
      </c>
      <c r="C45" vm="941">
        <f ca="1"/>
        <v>511</v>
      </c>
    </row>
    <row r="46" spans="2:3" x14ac:dyDescent="0.25">
      <c r="B46" vm="25">
        <f ca="1"/>
        <v>45307</v>
      </c>
      <c r="C46" vm="942">
        <f ca="1"/>
        <v>521</v>
      </c>
    </row>
    <row r="47" spans="2:3" x14ac:dyDescent="0.25">
      <c r="B47" vm="27">
        <f ca="1"/>
        <v>45308</v>
      </c>
      <c r="C47" vm="943">
        <f ca="1"/>
        <v>526</v>
      </c>
    </row>
    <row r="48" spans="2:3" x14ac:dyDescent="0.25">
      <c r="B48" vm="29">
        <f ca="1"/>
        <v>45309</v>
      </c>
      <c r="C48" vm="944">
        <f ca="1"/>
        <v>529.5</v>
      </c>
    </row>
    <row r="49" spans="2:3" x14ac:dyDescent="0.25">
      <c r="B49" vm="31">
        <f ca="1"/>
        <v>45310</v>
      </c>
      <c r="C49" vm="945">
        <f ca="1"/>
        <v>525</v>
      </c>
    </row>
    <row r="50" spans="2:3" x14ac:dyDescent="0.25">
      <c r="B50" vm="33">
        <f ca="1"/>
        <v>45313</v>
      </c>
      <c r="C50" vm="944">
        <f ca="1"/>
        <v>529.5</v>
      </c>
    </row>
    <row r="51" spans="2:3" x14ac:dyDescent="0.25">
      <c r="B51" vm="35">
        <f ca="1"/>
        <v>45314</v>
      </c>
      <c r="C51" vm="946">
        <f ca="1"/>
        <v>527</v>
      </c>
    </row>
    <row r="52" spans="2:3" x14ac:dyDescent="0.25">
      <c r="B52" vm="37">
        <f ca="1"/>
        <v>45315</v>
      </c>
      <c r="C52" vm="947">
        <f ca="1"/>
        <v>526.5</v>
      </c>
    </row>
    <row r="53" spans="2:3" x14ac:dyDescent="0.25">
      <c r="B53" vm="39">
        <f ca="1"/>
        <v>45316</v>
      </c>
      <c r="C53" vm="948">
        <f ca="1"/>
        <v>533.5</v>
      </c>
    </row>
    <row r="54" spans="2:3" x14ac:dyDescent="0.25">
      <c r="B54" vm="41">
        <f ca="1"/>
        <v>45317</v>
      </c>
      <c r="C54" vm="949">
        <f ca="1"/>
        <v>529</v>
      </c>
    </row>
    <row r="55" spans="2:3" x14ac:dyDescent="0.25">
      <c r="B55" vm="43">
        <f ca="1"/>
        <v>45320</v>
      </c>
      <c r="C55" vm="950">
        <f ca="1"/>
        <v>537</v>
      </c>
    </row>
    <row r="56" spans="2:3" x14ac:dyDescent="0.25">
      <c r="B56" vm="45">
        <f ca="1"/>
        <v>45321</v>
      </c>
      <c r="C56" vm="951">
        <f ca="1"/>
        <v>539</v>
      </c>
    </row>
    <row r="57" spans="2:3" x14ac:dyDescent="0.25">
      <c r="B57" vm="47">
        <f ca="1"/>
        <v>45322</v>
      </c>
      <c r="C57" vm="950">
        <f ca="1"/>
        <v>537</v>
      </c>
    </row>
    <row r="58" spans="2:3" x14ac:dyDescent="0.25">
      <c r="B58" vm="49">
        <f ca="1"/>
        <v>45323</v>
      </c>
      <c r="C58" vm="952">
        <f ca="1"/>
        <v>540</v>
      </c>
    </row>
    <row r="59" spans="2:3" x14ac:dyDescent="0.25">
      <c r="B59" vm="51">
        <f ca="1"/>
        <v>45324</v>
      </c>
      <c r="C59" vm="953">
        <f ca="1"/>
        <v>541</v>
      </c>
    </row>
    <row r="60" spans="2:3" x14ac:dyDescent="0.25">
      <c r="B60" vm="53">
        <f ca="1"/>
        <v>45327</v>
      </c>
      <c r="C60" vm="954">
        <f ca="1"/>
        <v>544</v>
      </c>
    </row>
    <row r="61" spans="2:3" x14ac:dyDescent="0.25">
      <c r="B61" vm="55">
        <f ca="1"/>
        <v>45328</v>
      </c>
      <c r="C61" vm="955">
        <f ca="1"/>
        <v>547</v>
      </c>
    </row>
    <row r="62" spans="2:3" x14ac:dyDescent="0.25">
      <c r="B62" vm="57">
        <f ca="1"/>
        <v>45329</v>
      </c>
      <c r="C62" vm="956">
        <f ca="1"/>
        <v>547.5</v>
      </c>
    </row>
    <row r="63" spans="2:3" x14ac:dyDescent="0.25">
      <c r="B63" vm="59">
        <f ca="1"/>
        <v>45330</v>
      </c>
      <c r="C63" vm="957">
        <f ca="1"/>
        <v>543</v>
      </c>
    </row>
    <row r="64" spans="2:3" x14ac:dyDescent="0.25">
      <c r="B64" vm="61">
        <f ca="1"/>
        <v>45331</v>
      </c>
      <c r="C64" vm="958">
        <f ca="1"/>
        <v>600</v>
      </c>
    </row>
    <row r="65" spans="2:3" x14ac:dyDescent="0.25">
      <c r="B65" vm="63">
        <f ca="1"/>
        <v>45334</v>
      </c>
      <c r="C65" vm="959">
        <f ca="1"/>
        <v>626</v>
      </c>
    </row>
    <row r="66" spans="2:3" x14ac:dyDescent="0.25">
      <c r="B66" vm="65">
        <f ca="1"/>
        <v>45335</v>
      </c>
      <c r="C66" vm="960">
        <f ca="1"/>
        <v>629</v>
      </c>
    </row>
    <row r="67" spans="2:3" x14ac:dyDescent="0.25">
      <c r="B67" vm="67">
        <f ca="1"/>
        <v>45336</v>
      </c>
      <c r="C67" vm="961">
        <f ca="1"/>
        <v>650.5</v>
      </c>
    </row>
    <row r="68" spans="2:3" x14ac:dyDescent="0.25">
      <c r="B68" vm="69">
        <f ca="1"/>
        <v>45337</v>
      </c>
      <c r="C68" vm="962">
        <f ca="1"/>
        <v>652</v>
      </c>
    </row>
    <row r="69" spans="2:3" x14ac:dyDescent="0.25">
      <c r="B69" vm="71">
        <f ca="1"/>
        <v>45338</v>
      </c>
      <c r="C69" vm="963">
        <f ca="1"/>
        <v>655</v>
      </c>
    </row>
    <row r="70" spans="2:3" x14ac:dyDescent="0.25">
      <c r="B70" vm="73">
        <f ca="1"/>
        <v>45341</v>
      </c>
      <c r="C70" vm="964">
        <f ca="1"/>
        <v>662.5</v>
      </c>
    </row>
    <row r="71" spans="2:3" x14ac:dyDescent="0.25">
      <c r="B71" vm="75">
        <f ca="1"/>
        <v>45342</v>
      </c>
      <c r="C71" vm="965">
        <f ca="1"/>
        <v>662</v>
      </c>
    </row>
    <row r="72" spans="2:3" x14ac:dyDescent="0.25">
      <c r="B72" vm="77">
        <f ca="1"/>
        <v>45343</v>
      </c>
      <c r="C72" vm="966">
        <f ca="1"/>
        <v>661</v>
      </c>
    </row>
    <row r="73" spans="2:3" x14ac:dyDescent="0.25">
      <c r="B73" vm="79">
        <f ca="1"/>
        <v>45344</v>
      </c>
      <c r="C73" vm="967">
        <f ca="1"/>
        <v>663.5</v>
      </c>
    </row>
    <row r="74" spans="2:3" x14ac:dyDescent="0.25">
      <c r="B74" vm="81">
        <f ca="1"/>
        <v>45345</v>
      </c>
      <c r="C74" vm="968">
        <f ca="1"/>
        <v>670</v>
      </c>
    </row>
    <row r="75" spans="2:3" x14ac:dyDescent="0.25">
      <c r="B75" vm="83">
        <f ca="1"/>
        <v>45348</v>
      </c>
      <c r="C75" vm="969">
        <f ca="1"/>
        <v>677.5</v>
      </c>
    </row>
    <row r="76" spans="2:3" x14ac:dyDescent="0.25">
      <c r="B76" vm="85">
        <f ca="1"/>
        <v>45349</v>
      </c>
      <c r="C76" vm="970">
        <f ca="1"/>
        <v>672.5</v>
      </c>
    </row>
    <row r="77" spans="2:3" x14ac:dyDescent="0.25">
      <c r="B77" vm="87">
        <f ca="1"/>
        <v>45350</v>
      </c>
      <c r="C77" vm="971">
        <f ca="1"/>
        <v>675.5</v>
      </c>
    </row>
    <row r="78" spans="2:3" x14ac:dyDescent="0.25">
      <c r="B78" vm="89">
        <f ca="1"/>
        <v>45351</v>
      </c>
      <c r="C78" vm="972">
        <f ca="1"/>
        <v>676.5</v>
      </c>
    </row>
    <row r="79" spans="2:3" x14ac:dyDescent="0.25">
      <c r="B79" vm="91">
        <f ca="1"/>
        <v>45352</v>
      </c>
      <c r="C79" vm="973">
        <f ca="1"/>
        <v>681.5</v>
      </c>
    </row>
    <row r="80" spans="2:3" x14ac:dyDescent="0.25">
      <c r="B80" vm="93">
        <f ca="1"/>
        <v>45355</v>
      </c>
      <c r="C80" vm="974">
        <f ca="1"/>
        <v>686</v>
      </c>
    </row>
    <row r="81" spans="2:3" x14ac:dyDescent="0.25">
      <c r="B81" vm="95">
        <f ca="1"/>
        <v>45356</v>
      </c>
      <c r="C81" vm="975">
        <f ca="1"/>
        <v>689.5</v>
      </c>
    </row>
    <row r="82" spans="2:3" x14ac:dyDescent="0.25">
      <c r="B82" vm="97">
        <f ca="1"/>
        <v>45357</v>
      </c>
      <c r="C82" vm="976">
        <f ca="1"/>
        <v>672</v>
      </c>
    </row>
    <row r="83" spans="2:3" x14ac:dyDescent="0.25">
      <c r="B83" vm="99">
        <f ca="1"/>
        <v>45358</v>
      </c>
      <c r="C83" vm="977">
        <f ca="1"/>
        <v>675</v>
      </c>
    </row>
    <row r="84" spans="2:3" x14ac:dyDescent="0.25">
      <c r="B84" vm="101">
        <f ca="1"/>
        <v>45359</v>
      </c>
      <c r="C84" vm="978">
        <f ca="1"/>
        <v>663</v>
      </c>
    </row>
    <row r="85" spans="2:3" x14ac:dyDescent="0.25">
      <c r="B85" vm="103">
        <f ca="1"/>
        <v>45362</v>
      </c>
      <c r="C85" vm="979">
        <f ca="1"/>
        <v>669</v>
      </c>
    </row>
    <row r="86" spans="2:3" x14ac:dyDescent="0.25">
      <c r="B86" vm="105">
        <f ca="1"/>
        <v>45363</v>
      </c>
      <c r="C86" vm="980">
        <f ca="1"/>
        <v>669.5</v>
      </c>
    </row>
    <row r="87" spans="2:3" x14ac:dyDescent="0.25">
      <c r="B87" vm="107">
        <f ca="1"/>
        <v>45364</v>
      </c>
      <c r="C87" vm="970">
        <f ca="1"/>
        <v>672.5</v>
      </c>
    </row>
    <row r="88" spans="2:3" x14ac:dyDescent="0.25">
      <c r="B88" vm="109">
        <f ca="1"/>
        <v>45365</v>
      </c>
      <c r="C88" vm="981">
        <f ca="1"/>
        <v>676</v>
      </c>
    </row>
    <row r="89" spans="2:3" x14ac:dyDescent="0.25">
      <c r="B89" vm="111">
        <f ca="1"/>
        <v>45366</v>
      </c>
      <c r="C89" vm="982">
        <f ca="1"/>
        <v>684</v>
      </c>
    </row>
    <row r="90" spans="2:3" x14ac:dyDescent="0.25">
      <c r="B90" vm="113">
        <f ca="1"/>
        <v>45369</v>
      </c>
      <c r="C90" vm="983">
        <f ca="1"/>
        <v>710.5</v>
      </c>
    </row>
    <row r="91" spans="2:3" x14ac:dyDescent="0.25">
      <c r="B91" vm="115">
        <f ca="1"/>
        <v>45370</v>
      </c>
      <c r="C91" vm="984">
        <f ca="1"/>
        <v>712.5</v>
      </c>
    </row>
    <row r="92" spans="2:3" x14ac:dyDescent="0.25">
      <c r="B92" vm="117">
        <f ca="1"/>
        <v>45371</v>
      </c>
      <c r="C92" vm="985">
        <f ca="1"/>
        <v>720</v>
      </c>
    </row>
    <row r="93" spans="2:3" x14ac:dyDescent="0.25">
      <c r="B93" vm="119">
        <f ca="1"/>
        <v>45372</v>
      </c>
      <c r="C93" vm="986">
        <f ca="1"/>
        <v>718</v>
      </c>
    </row>
    <row r="94" spans="2:3" x14ac:dyDescent="0.25">
      <c r="B94" vm="121">
        <f ca="1"/>
        <v>45373</v>
      </c>
      <c r="C94" vm="987">
        <f ca="1"/>
        <v>737</v>
      </c>
    </row>
    <row r="95" spans="2:3" x14ac:dyDescent="0.25">
      <c r="B95" vm="123">
        <f ca="1"/>
        <v>45376</v>
      </c>
      <c r="C95" vm="988">
        <f ca="1"/>
        <v>743.5</v>
      </c>
    </row>
    <row r="96" spans="2:3" x14ac:dyDescent="0.25">
      <c r="B96" vm="125">
        <f ca="1"/>
        <v>45377</v>
      </c>
      <c r="C96" vm="989">
        <f ca="1"/>
        <v>747</v>
      </c>
    </row>
    <row r="97" spans="2:3" x14ac:dyDescent="0.25">
      <c r="B97" vm="127">
        <f ca="1"/>
        <v>45378</v>
      </c>
      <c r="C97" vm="990">
        <f ca="1"/>
        <v>749.5</v>
      </c>
    </row>
    <row r="98" spans="2:3" x14ac:dyDescent="0.25">
      <c r="B98" vm="129">
        <f ca="1"/>
        <v>45384</v>
      </c>
      <c r="C98" vm="991">
        <f ca="1"/>
        <v>744</v>
      </c>
    </row>
    <row r="99" spans="2:3" x14ac:dyDescent="0.25">
      <c r="B99" vm="131">
        <f ca="1"/>
        <v>45385</v>
      </c>
      <c r="C99" vm="992">
        <f ca="1"/>
        <v>751.5</v>
      </c>
    </row>
    <row r="100" spans="2:3" x14ac:dyDescent="0.25">
      <c r="B100" vm="133">
        <f ca="1"/>
        <v>45386</v>
      </c>
      <c r="C100" vm="993">
        <f ca="1"/>
        <v>740</v>
      </c>
    </row>
    <row r="101" spans="2:3" x14ac:dyDescent="0.25">
      <c r="B101" vm="135">
        <f ca="1"/>
        <v>45387</v>
      </c>
      <c r="C101" vm="994">
        <f ca="1"/>
        <v>758.5</v>
      </c>
    </row>
    <row r="102" spans="2:3" x14ac:dyDescent="0.25">
      <c r="B102" vm="137">
        <f ca="1"/>
        <v>45390</v>
      </c>
      <c r="C102" vm="995">
        <f ca="1"/>
        <v>764.5</v>
      </c>
    </row>
    <row r="103" spans="2:3" x14ac:dyDescent="0.25">
      <c r="B103" vm="139">
        <f ca="1"/>
        <v>45391</v>
      </c>
      <c r="C103" vm="996">
        <f ca="1"/>
        <v>723</v>
      </c>
    </row>
    <row r="104" spans="2:3" x14ac:dyDescent="0.25">
      <c r="B104" vm="141">
        <f ca="1"/>
        <v>45392</v>
      </c>
      <c r="C104" vm="997">
        <f ca="1"/>
        <v>750.5</v>
      </c>
    </row>
    <row r="105" spans="2:3" x14ac:dyDescent="0.25">
      <c r="B105" vm="143">
        <f ca="1"/>
        <v>45393</v>
      </c>
      <c r="C105" vm="998">
        <f ca="1"/>
        <v>752.5</v>
      </c>
    </row>
    <row r="106" spans="2:3" x14ac:dyDescent="0.25">
      <c r="B106" vm="145">
        <f ca="1"/>
        <v>45394</v>
      </c>
      <c r="C106" vm="999">
        <f ca="1"/>
        <v>769</v>
      </c>
    </row>
    <row r="107" spans="2:3" x14ac:dyDescent="0.25">
      <c r="B107" vm="147">
        <f ca="1"/>
        <v>45397</v>
      </c>
      <c r="C107" vm="1000">
        <f ca="1"/>
        <v>773</v>
      </c>
    </row>
    <row r="108" spans="2:3" x14ac:dyDescent="0.25">
      <c r="B108" vm="149">
        <f ca="1"/>
        <v>45398</v>
      </c>
      <c r="C108" vm="1001">
        <f ca="1"/>
        <v>760.5</v>
      </c>
    </row>
    <row r="109" spans="2:3" x14ac:dyDescent="0.25">
      <c r="B109" vm="151">
        <f ca="1"/>
        <v>45399</v>
      </c>
      <c r="C109" vm="995">
        <f ca="1"/>
        <v>764.5</v>
      </c>
    </row>
    <row r="110" spans="2:3" x14ac:dyDescent="0.25">
      <c r="B110" vm="153">
        <f ca="1"/>
        <v>45400</v>
      </c>
      <c r="C110" vm="1002">
        <f ca="1"/>
        <v>748.5</v>
      </c>
    </row>
    <row r="111" spans="2:3" x14ac:dyDescent="0.25">
      <c r="B111" vm="155">
        <f ca="1"/>
        <v>45401</v>
      </c>
      <c r="C111" vm="989">
        <f ca="1"/>
        <v>747</v>
      </c>
    </row>
    <row r="112" spans="2:3" x14ac:dyDescent="0.25">
      <c r="B112" vm="157">
        <f ca="1"/>
        <v>45404</v>
      </c>
      <c r="C112" vm="1003">
        <f ca="1"/>
        <v>749</v>
      </c>
    </row>
    <row r="113" spans="2:3" x14ac:dyDescent="0.25">
      <c r="B113" vm="159">
        <f ca="1"/>
        <v>45405</v>
      </c>
      <c r="C113" vm="1004">
        <f ca="1"/>
        <v>761</v>
      </c>
    </row>
    <row r="114" spans="2:3" x14ac:dyDescent="0.25">
      <c r="B114" vm="161">
        <f ca="1"/>
        <v>45406</v>
      </c>
      <c r="C114" vm="1005">
        <f ca="1"/>
        <v>777.5</v>
      </c>
    </row>
    <row r="115" spans="2:3" x14ac:dyDescent="0.25">
      <c r="B115" vm="163">
        <f ca="1"/>
        <v>45407</v>
      </c>
      <c r="C115" vm="1006">
        <f ca="1"/>
        <v>755</v>
      </c>
    </row>
    <row r="116" spans="2:3" x14ac:dyDescent="0.25">
      <c r="B116" vm="165">
        <f ca="1"/>
        <v>45408</v>
      </c>
      <c r="C116" vm="1007">
        <f ca="1"/>
        <v>759</v>
      </c>
    </row>
    <row r="117" spans="2:3" x14ac:dyDescent="0.25">
      <c r="B117" vm="167">
        <f ca="1"/>
        <v>45411</v>
      </c>
      <c r="C117" vm="1008">
        <f ca="1"/>
        <v>765</v>
      </c>
    </row>
    <row r="118" spans="2:3" x14ac:dyDescent="0.25">
      <c r="B118" vm="169">
        <f ca="1"/>
        <v>45412</v>
      </c>
      <c r="C118" vm="1009">
        <f ca="1"/>
        <v>786</v>
      </c>
    </row>
    <row r="119" spans="2:3" x14ac:dyDescent="0.25">
      <c r="B119" vm="171">
        <f ca="1"/>
        <v>45414</v>
      </c>
      <c r="C119" vm="1010">
        <f ca="1"/>
        <v>792</v>
      </c>
    </row>
    <row r="120" spans="2:3" x14ac:dyDescent="0.25">
      <c r="B120" vm="173">
        <f ca="1"/>
        <v>45415</v>
      </c>
      <c r="C120" vm="1011">
        <f ca="1"/>
        <v>800</v>
      </c>
    </row>
    <row r="121" spans="2:3" x14ac:dyDescent="0.25">
      <c r="B121" vm="175">
        <f ca="1"/>
        <v>45418</v>
      </c>
      <c r="C121" vm="1012">
        <f ca="1"/>
        <v>821.5</v>
      </c>
    </row>
    <row r="122" spans="2:3" x14ac:dyDescent="0.25">
      <c r="B122" vm="177">
        <f ca="1"/>
        <v>45419</v>
      </c>
      <c r="C122" vm="1013">
        <f ca="1"/>
        <v>815.5</v>
      </c>
    </row>
    <row r="123" spans="2:3" x14ac:dyDescent="0.25">
      <c r="B123" vm="179">
        <f ca="1"/>
        <v>45420</v>
      </c>
      <c r="C123" vm="1014">
        <f ca="1"/>
        <v>818.5</v>
      </c>
    </row>
    <row r="124" spans="2:3" x14ac:dyDescent="0.25">
      <c r="B124" vm="181">
        <f ca="1"/>
        <v>45422</v>
      </c>
      <c r="C124" vm="1015">
        <f ca="1"/>
        <v>831.5</v>
      </c>
    </row>
    <row r="125" spans="2:3" x14ac:dyDescent="0.25">
      <c r="B125" vm="183">
        <f ca="1"/>
        <v>45425</v>
      </c>
      <c r="C125" vm="1016">
        <f ca="1"/>
        <v>842</v>
      </c>
    </row>
    <row r="126" spans="2:3" x14ac:dyDescent="0.25">
      <c r="B126" vm="185">
        <f ca="1"/>
        <v>45426</v>
      </c>
      <c r="C126" vm="1017">
        <f ca="1"/>
        <v>832.5</v>
      </c>
    </row>
    <row r="127" spans="2:3" x14ac:dyDescent="0.25">
      <c r="B127" vm="187">
        <f ca="1"/>
        <v>45427</v>
      </c>
      <c r="C127" vm="1018">
        <f ca="1"/>
        <v>848</v>
      </c>
    </row>
    <row r="128" spans="2:3" x14ac:dyDescent="0.25">
      <c r="B128" vm="189">
        <f ca="1"/>
        <v>45428</v>
      </c>
      <c r="C128" vm="1019">
        <f ca="1"/>
        <v>863.5</v>
      </c>
    </row>
    <row r="129" spans="2:3" x14ac:dyDescent="0.25">
      <c r="B129" vm="191">
        <f ca="1"/>
        <v>45433</v>
      </c>
      <c r="C129" vm="1020">
        <f ca="1"/>
        <v>875.5</v>
      </c>
    </row>
    <row r="130" spans="2:3" x14ac:dyDescent="0.25">
      <c r="B130" vm="193">
        <f ca="1"/>
        <v>45434</v>
      </c>
      <c r="C130" vm="1021">
        <f ca="1"/>
        <v>887</v>
      </c>
    </row>
    <row r="131" spans="2:3" x14ac:dyDescent="0.25">
      <c r="B131" vm="195">
        <f ca="1"/>
        <v>45435</v>
      </c>
      <c r="C131" vm="1022">
        <f ca="1"/>
        <v>905</v>
      </c>
    </row>
    <row r="132" spans="2:3" x14ac:dyDescent="0.25">
      <c r="B132" vm="197">
        <f ca="1"/>
        <v>45436</v>
      </c>
      <c r="C132" vm="1022">
        <f ca="1"/>
        <v>905</v>
      </c>
    </row>
    <row r="133" spans="2:3" x14ac:dyDescent="0.25">
      <c r="B133" vm="199">
        <f ca="1"/>
        <v>45439</v>
      </c>
      <c r="C133" vm="1023">
        <f ca="1"/>
        <v>904.5</v>
      </c>
    </row>
    <row r="134" spans="2:3" x14ac:dyDescent="0.25">
      <c r="B134" vm="201">
        <f ca="1"/>
        <v>45440</v>
      </c>
      <c r="C134" vm="1024">
        <f ca="1"/>
        <v>891.5</v>
      </c>
    </row>
    <row r="135" spans="2:3" x14ac:dyDescent="0.25">
      <c r="B135" vm="203">
        <f ca="1"/>
        <v>45441</v>
      </c>
      <c r="C135" vm="1025">
        <f ca="1"/>
        <v>885</v>
      </c>
    </row>
    <row r="136" spans="2:3" x14ac:dyDescent="0.25">
      <c r="B136" vm="205">
        <f ca="1"/>
        <v>45442</v>
      </c>
      <c r="C136" vm="1026">
        <f ca="1"/>
        <v>890</v>
      </c>
    </row>
    <row r="137" spans="2:3" x14ac:dyDescent="0.25">
      <c r="B137" vm="207">
        <f ca="1"/>
        <v>45443</v>
      </c>
      <c r="C137" vm="1027">
        <f ca="1"/>
        <v>901.5</v>
      </c>
    </row>
    <row r="138" spans="2:3" x14ac:dyDescent="0.25">
      <c r="B138" vm="209">
        <f ca="1"/>
        <v>45446</v>
      </c>
      <c r="C138" vm="1028">
        <f ca="1"/>
        <v>915</v>
      </c>
    </row>
    <row r="139" spans="2:3" x14ac:dyDescent="0.25">
      <c r="B139" vm="211">
        <f ca="1"/>
        <v>45447</v>
      </c>
      <c r="C139" vm="1029">
        <f ca="1"/>
        <v>881</v>
      </c>
    </row>
    <row r="140" spans="2:3" x14ac:dyDescent="0.25">
      <c r="B140" vm="213">
        <f ca="1"/>
        <v>45448</v>
      </c>
      <c r="C140" vm="1030">
        <f ca="1"/>
        <v>893</v>
      </c>
    </row>
    <row r="141" spans="2:3" x14ac:dyDescent="0.25">
      <c r="B141" vm="215">
        <f ca="1"/>
        <v>45449</v>
      </c>
      <c r="C141" vm="1022">
        <f ca="1"/>
        <v>905</v>
      </c>
    </row>
    <row r="142" spans="2:3" x14ac:dyDescent="0.25">
      <c r="B142" vm="217">
        <f ca="1"/>
        <v>45450</v>
      </c>
      <c r="C142" vm="1031">
        <f ca="1"/>
        <v>932</v>
      </c>
    </row>
    <row r="143" spans="2:3" x14ac:dyDescent="0.25">
      <c r="B143" vm="219">
        <f ca="1"/>
        <v>45453</v>
      </c>
      <c r="C143" vm="1032">
        <f ca="1"/>
        <v>923</v>
      </c>
    </row>
    <row r="144" spans="2:3" x14ac:dyDescent="0.25">
      <c r="B144" vm="221">
        <f ca="1"/>
        <v>45454</v>
      </c>
      <c r="C144" vm="1028">
        <f ca="1"/>
        <v>915</v>
      </c>
    </row>
    <row r="145" spans="2:3" x14ac:dyDescent="0.25">
      <c r="B145" vm="223">
        <f ca="1"/>
        <v>45455</v>
      </c>
      <c r="C145" vm="1033">
        <f ca="1"/>
        <v>920</v>
      </c>
    </row>
    <row r="146" spans="2:3" x14ac:dyDescent="0.25">
      <c r="B146" vm="225">
        <f ca="1"/>
        <v>45456</v>
      </c>
      <c r="C146" vm="1034">
        <f ca="1"/>
        <v>914</v>
      </c>
    </row>
    <row r="147" spans="2:3" x14ac:dyDescent="0.25">
      <c r="B147" vm="227">
        <f ca="1"/>
        <v>45457</v>
      </c>
      <c r="C147" vm="1035">
        <f ca="1"/>
        <v>871.5</v>
      </c>
    </row>
    <row r="148" spans="2:3" x14ac:dyDescent="0.25">
      <c r="B148" vm="229">
        <f ca="1"/>
        <v>45460</v>
      </c>
      <c r="C148" vm="1036">
        <f ca="1"/>
        <v>867.5</v>
      </c>
    </row>
    <row r="149" spans="2:3" x14ac:dyDescent="0.25">
      <c r="B149" vm="231">
        <f ca="1"/>
        <v>45461</v>
      </c>
      <c r="C149" vm="1037">
        <f ca="1"/>
        <v>873</v>
      </c>
    </row>
    <row r="150" spans="2:3" x14ac:dyDescent="0.25">
      <c r="B150" vm="233">
        <f ca="1"/>
        <v>45462</v>
      </c>
      <c r="C150" vm="1038">
        <f ca="1"/>
        <v>874.5</v>
      </c>
    </row>
    <row r="151" spans="2:3" x14ac:dyDescent="0.25">
      <c r="B151" vm="235">
        <f ca="1"/>
        <v>45463</v>
      </c>
      <c r="C151" vm="1039">
        <f ca="1"/>
        <v>874</v>
      </c>
    </row>
    <row r="152" spans="2:3" x14ac:dyDescent="0.25">
      <c r="B152" vm="237">
        <f ca="1"/>
        <v>45464</v>
      </c>
      <c r="C152" vm="1040">
        <f ca="1"/>
        <v>892</v>
      </c>
    </row>
    <row r="153" spans="2:3" x14ac:dyDescent="0.25">
      <c r="B153" vm="239">
        <f ca="1"/>
        <v>45467</v>
      </c>
      <c r="C153" vm="1041">
        <f ca="1"/>
        <v>876.5</v>
      </c>
    </row>
    <row r="154" spans="2:3" x14ac:dyDescent="0.25">
      <c r="B154" vm="241">
        <f ca="1"/>
        <v>45468</v>
      </c>
      <c r="C154" vm="1042">
        <f ca="1"/>
        <v>871</v>
      </c>
    </row>
    <row r="155" spans="2:3" x14ac:dyDescent="0.25">
      <c r="B155" vm="243">
        <f ca="1"/>
        <v>45469</v>
      </c>
      <c r="C155" vm="1043">
        <f ca="1"/>
        <v>855.5</v>
      </c>
    </row>
    <row r="156" spans="2:3" x14ac:dyDescent="0.25">
      <c r="B156" vm="245">
        <f ca="1"/>
        <v>45470</v>
      </c>
      <c r="C156" vm="1044">
        <f ca="1"/>
        <v>870</v>
      </c>
    </row>
    <row r="157" spans="2:3" x14ac:dyDescent="0.25">
      <c r="B157" vm="247">
        <f ca="1"/>
        <v>45471</v>
      </c>
      <c r="C157" vm="1044">
        <f ca="1"/>
        <v>870</v>
      </c>
    </row>
    <row r="158" spans="2:3" x14ac:dyDescent="0.25">
      <c r="B158" vm="249">
        <f ca="1"/>
        <v>45474</v>
      </c>
      <c r="C158" vm="1027">
        <f ca="1"/>
        <v>901.5</v>
      </c>
    </row>
    <row r="159" spans="2:3" x14ac:dyDescent="0.25">
      <c r="B159" vm="251">
        <f ca="1"/>
        <v>45475</v>
      </c>
      <c r="C159" vm="1045">
        <f ca="1"/>
        <v>881.5</v>
      </c>
    </row>
    <row r="160" spans="2:3" x14ac:dyDescent="0.25">
      <c r="B160" vm="253">
        <f ca="1"/>
        <v>45476</v>
      </c>
      <c r="C160" vm="1046">
        <f ca="1"/>
        <v>878</v>
      </c>
    </row>
    <row r="161" spans="2:3" x14ac:dyDescent="0.25">
      <c r="B161" vm="255">
        <f ca="1"/>
        <v>45477</v>
      </c>
      <c r="C161" vm="1047">
        <f ca="1"/>
        <v>882.5</v>
      </c>
    </row>
    <row r="162" spans="2:3" x14ac:dyDescent="0.25">
      <c r="B162" vm="257">
        <f ca="1"/>
        <v>45478</v>
      </c>
      <c r="C162" vm="1046">
        <f ca="1"/>
        <v>878</v>
      </c>
    </row>
    <row r="163" spans="2:3" x14ac:dyDescent="0.25">
      <c r="B163" vm="259">
        <f ca="1"/>
        <v>45481</v>
      </c>
      <c r="C163" vm="1025">
        <f ca="1"/>
        <v>885</v>
      </c>
    </row>
    <row r="164" spans="2:3" x14ac:dyDescent="0.25">
      <c r="B164" vm="261">
        <f ca="1"/>
        <v>45482</v>
      </c>
      <c r="C164" vm="1048">
        <f ca="1"/>
        <v>894</v>
      </c>
    </row>
    <row r="165" spans="2:3" x14ac:dyDescent="0.25">
      <c r="B165" vm="263">
        <f ca="1"/>
        <v>45483</v>
      </c>
      <c r="C165" vm="1049">
        <f ca="1"/>
        <v>993</v>
      </c>
    </row>
    <row r="166" spans="2:3" x14ac:dyDescent="0.25">
      <c r="B166" vm="265">
        <f ca="1"/>
        <v>45484</v>
      </c>
      <c r="C166" vm="1050">
        <f ca="1"/>
        <v>1033</v>
      </c>
    </row>
    <row r="167" spans="2:3" x14ac:dyDescent="0.25">
      <c r="B167" vm="267">
        <f ca="1"/>
        <v>45485</v>
      </c>
      <c r="C167" vm="1051">
        <f ca="1"/>
        <v>1061</v>
      </c>
    </row>
    <row r="168" spans="2:3" x14ac:dyDescent="0.25">
      <c r="B168" vm="269">
        <f ca="1"/>
        <v>45488</v>
      </c>
      <c r="C168" vm="1052">
        <f ca="1"/>
        <v>1058</v>
      </c>
    </row>
    <row r="169" spans="2:3" x14ac:dyDescent="0.25">
      <c r="B169" vm="271">
        <f ca="1"/>
        <v>45489</v>
      </c>
      <c r="C169" vm="1053">
        <f ca="1"/>
        <v>1073</v>
      </c>
    </row>
    <row r="170" spans="2:3" x14ac:dyDescent="0.25">
      <c r="B170" vm="273">
        <f ca="1"/>
        <v>45490</v>
      </c>
      <c r="C170" vm="1054">
        <f ca="1"/>
        <v>1063</v>
      </c>
    </row>
    <row r="171" spans="2:3" x14ac:dyDescent="0.25">
      <c r="B171" vm="275">
        <f ca="1"/>
        <v>45491</v>
      </c>
      <c r="C171" vm="1055">
        <f ca="1"/>
        <v>1066</v>
      </c>
    </row>
    <row r="172" spans="2:3" x14ac:dyDescent="0.25">
      <c r="B172" vm="277">
        <f ca="1"/>
        <v>45492</v>
      </c>
      <c r="C172" vm="1056">
        <f ca="1"/>
        <v>1065</v>
      </c>
    </row>
    <row r="173" spans="2:3" x14ac:dyDescent="0.25">
      <c r="B173" vm="279">
        <f ca="1"/>
        <v>45495</v>
      </c>
      <c r="C173" vm="1057">
        <f ca="1"/>
        <v>1088</v>
      </c>
    </row>
    <row r="174" spans="2:3" x14ac:dyDescent="0.25">
      <c r="B174" vm="281">
        <f ca="1"/>
        <v>45496</v>
      </c>
      <c r="C174" vm="1058">
        <f ca="1"/>
        <v>1110</v>
      </c>
    </row>
    <row r="175" spans="2:3" x14ac:dyDescent="0.25">
      <c r="B175" vm="283">
        <f ca="1"/>
        <v>45497</v>
      </c>
      <c r="C175" vm="1059">
        <f ca="1"/>
        <v>1096</v>
      </c>
    </row>
    <row r="176" spans="2:3" x14ac:dyDescent="0.25">
      <c r="B176" vm="285">
        <f ca="1"/>
        <v>45498</v>
      </c>
      <c r="C176" vm="1060">
        <f ca="1"/>
        <v>1051</v>
      </c>
    </row>
    <row r="177" spans="2:3" x14ac:dyDescent="0.25">
      <c r="B177" vm="287">
        <f ca="1"/>
        <v>45499</v>
      </c>
      <c r="C177" vm="1061">
        <f ca="1"/>
        <v>1082</v>
      </c>
    </row>
    <row r="178" spans="2:3" x14ac:dyDescent="0.25">
      <c r="B178" vm="289">
        <f ca="1"/>
        <v>45502</v>
      </c>
      <c r="C178" vm="1062">
        <f ca="1"/>
        <v>1080</v>
      </c>
    </row>
    <row r="179" spans="2:3" x14ac:dyDescent="0.25">
      <c r="B179" vm="291">
        <f ca="1"/>
        <v>45503</v>
      </c>
      <c r="C179" vm="1063">
        <f ca="1"/>
        <v>1085</v>
      </c>
    </row>
    <row r="180" spans="2:3" x14ac:dyDescent="0.25">
      <c r="B180" vm="293">
        <f ca="1"/>
        <v>45504</v>
      </c>
      <c r="C180" vm="1059">
        <f ca="1"/>
        <v>1096</v>
      </c>
    </row>
    <row r="181" spans="2:3" x14ac:dyDescent="0.25">
      <c r="B181" vm="295">
        <f ca="1"/>
        <v>45505</v>
      </c>
      <c r="C181" vm="1064">
        <f ca="1"/>
        <v>1084</v>
      </c>
    </row>
    <row r="182" spans="2:3" x14ac:dyDescent="0.25">
      <c r="B182" vm="297">
        <f ca="1"/>
        <v>45506</v>
      </c>
      <c r="C182" vm="1065">
        <f ca="1"/>
        <v>1039</v>
      </c>
    </row>
    <row r="183" spans="2:3" x14ac:dyDescent="0.25">
      <c r="B183" vm="299">
        <f ca="1"/>
        <v>45509</v>
      </c>
      <c r="C183" vm="1066">
        <f ca="1"/>
        <v>1013</v>
      </c>
    </row>
    <row r="184" spans="2:3" x14ac:dyDescent="0.25">
      <c r="B184" vm="301">
        <f ca="1"/>
        <v>45510</v>
      </c>
      <c r="C184" vm="1067">
        <f ca="1"/>
        <v>1037</v>
      </c>
    </row>
    <row r="185" spans="2:3" x14ac:dyDescent="0.25">
      <c r="B185" vm="303">
        <f ca="1"/>
        <v>45511</v>
      </c>
      <c r="C185" vm="1068">
        <f ca="1"/>
        <v>1046</v>
      </c>
    </row>
    <row r="186" spans="2:3" x14ac:dyDescent="0.25">
      <c r="B186" vm="305">
        <f ca="1"/>
        <v>45512</v>
      </c>
      <c r="C186" vm="1050">
        <f ca="1"/>
        <v>1033</v>
      </c>
    </row>
    <row r="187" spans="2:3" x14ac:dyDescent="0.25">
      <c r="B187" vm="307">
        <f ca="1"/>
        <v>45513</v>
      </c>
      <c r="C187" vm="1069">
        <f ca="1"/>
        <v>1064</v>
      </c>
    </row>
    <row r="188" spans="2:3" x14ac:dyDescent="0.25">
      <c r="B188" vm="309">
        <f ca="1"/>
        <v>45516</v>
      </c>
      <c r="C188" vm="1070">
        <f ca="1"/>
        <v>1074</v>
      </c>
    </row>
    <row r="189" spans="2:3" x14ac:dyDescent="0.25">
      <c r="B189" vm="311">
        <f ca="1"/>
        <v>45517</v>
      </c>
      <c r="C189" vm="1057">
        <f ca="1"/>
        <v>1088</v>
      </c>
    </row>
    <row r="190" spans="2:3" x14ac:dyDescent="0.25">
      <c r="B190" vm="313">
        <f ca="1"/>
        <v>45518</v>
      </c>
      <c r="C190" vm="1071">
        <f ca="1"/>
        <v>1101</v>
      </c>
    </row>
    <row r="191" spans="2:3" x14ac:dyDescent="0.25">
      <c r="B191" vm="315">
        <f ca="1"/>
        <v>45519</v>
      </c>
      <c r="C191" vm="1072">
        <f ca="1"/>
        <v>1090</v>
      </c>
    </row>
    <row r="192" spans="2:3" x14ac:dyDescent="0.25">
      <c r="B192" vm="317">
        <f ca="1"/>
        <v>45520</v>
      </c>
      <c r="C192" vm="1073">
        <f ca="1"/>
        <v>1106</v>
      </c>
    </row>
  </sheetData>
  <mergeCells count="4">
    <mergeCell ref="B2:C2"/>
    <mergeCell ref="B24:C24"/>
    <mergeCell ref="B33:C33"/>
    <mergeCell ref="B34:C34"/>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975E6-542F-422C-A6F3-FE02BFCA5D86}">
  <sheetPr codeName="Sheet18">
    <tabColor theme="9" tint="0.59999389629810485"/>
  </sheetPr>
  <dimension ref="B2:D192"/>
  <sheetViews>
    <sheetView showGridLines="0" workbookViewId="0">
      <selection activeCell="C27" sqref="C27"/>
    </sheetView>
  </sheetViews>
  <sheetFormatPr defaultRowHeight="15" x14ac:dyDescent="0.25"/>
  <cols>
    <col min="2" max="2" width="12.7109375" customWidth="1"/>
    <col min="3" max="3" width="16.140625" customWidth="1"/>
    <col min="4" max="4" width="10.140625" bestFit="1" customWidth="1"/>
    <col min="14" max="14" width="10.140625" bestFit="1" customWidth="1"/>
  </cols>
  <sheetData>
    <row r="2" spans="2:4" x14ac:dyDescent="0.25">
      <c r="B2" s="6" t="s">
        <v>18</v>
      </c>
      <c r="C2" s="6"/>
      <c r="D2" s="3"/>
    </row>
    <row r="24" spans="2:4" x14ac:dyDescent="0.25">
      <c r="B24" s="6" t="s">
        <v>19</v>
      </c>
      <c r="C24" s="6"/>
      <c r="D24" s="3"/>
    </row>
    <row r="25" spans="2:4" x14ac:dyDescent="0.25">
      <c r="B25" s="5" t="s">
        <v>20</v>
      </c>
      <c r="C25" s="4" t="s">
        <v>21</v>
      </c>
    </row>
    <row r="26" spans="2:4" x14ac:dyDescent="0.25">
      <c r="B26" s="5" t="s">
        <v>22</v>
      </c>
      <c r="C26" s="4" t="s">
        <v>23</v>
      </c>
    </row>
    <row r="27" spans="2:4" x14ac:dyDescent="0.25">
      <c r="B27" t="s">
        <v>2</v>
      </c>
      <c r="C27" t="e" vm="1074">
        <v>#VALUE!</v>
      </c>
    </row>
    <row r="33" spans="2:3" x14ac:dyDescent="0.25">
      <c r="B33" s="6" t="s">
        <v>28</v>
      </c>
      <c r="C33" s="6"/>
    </row>
    <row r="34" spans="2:3" x14ac:dyDescent="0.25">
      <c r="B34" s="8" t="s">
        <v>29</v>
      </c>
      <c r="C34" s="8"/>
    </row>
    <row r="35" spans="2:3" x14ac:dyDescent="0.25">
      <c r="B35" cm="1" vm="2">
        <f t="array" aca="1" ref="B35:C192" ca="1">_xlfn.STOCKHISTORY(C27,DATE(2023,12,29),TODAY(),0,0,0,1)</f>
        <v>45289</v>
      </c>
      <c r="C35" vm="1075">
        <f ca="1"/>
        <v>82.15</v>
      </c>
    </row>
    <row r="36" spans="2:3" x14ac:dyDescent="0.25">
      <c r="B36" vm="4">
        <f ca="1"/>
        <v>45293</v>
      </c>
      <c r="C36" vm="469">
        <f ca="1"/>
        <v>78.349999999999994</v>
      </c>
    </row>
    <row r="37" spans="2:3" x14ac:dyDescent="0.25">
      <c r="B37" vm="7">
        <f ca="1"/>
        <v>45294</v>
      </c>
      <c r="C37" vm="1076">
        <f ca="1"/>
        <v>75.650000000000006</v>
      </c>
    </row>
    <row r="38" spans="2:3" x14ac:dyDescent="0.25">
      <c r="B38" vm="9">
        <f ca="1"/>
        <v>45295</v>
      </c>
      <c r="C38" vm="515">
        <f ca="1"/>
        <v>74.75</v>
      </c>
    </row>
    <row r="39" spans="2:3" x14ac:dyDescent="0.25">
      <c r="B39" vm="11">
        <f ca="1"/>
        <v>45296</v>
      </c>
      <c r="C39" vm="1077">
        <f ca="1"/>
        <v>74.900000000000006</v>
      </c>
    </row>
    <row r="40" spans="2:3" x14ac:dyDescent="0.25">
      <c r="B40" vm="13">
        <f ca="1"/>
        <v>45299</v>
      </c>
      <c r="C40" vm="1078">
        <f ca="1"/>
        <v>74.599999999999994</v>
      </c>
    </row>
    <row r="41" spans="2:3" x14ac:dyDescent="0.25">
      <c r="B41" vm="15">
        <f ca="1"/>
        <v>45300</v>
      </c>
      <c r="C41" vm="1079">
        <f ca="1"/>
        <v>74.45</v>
      </c>
    </row>
    <row r="42" spans="2:3" x14ac:dyDescent="0.25">
      <c r="B42" vm="17">
        <f ca="1"/>
        <v>45301</v>
      </c>
      <c r="C42" vm="1080">
        <f ca="1"/>
        <v>73.75</v>
      </c>
    </row>
    <row r="43" spans="2:3" x14ac:dyDescent="0.25">
      <c r="B43" vm="19">
        <f ca="1"/>
        <v>45302</v>
      </c>
      <c r="C43" vm="1081">
        <f ca="1"/>
        <v>76.150000000000006</v>
      </c>
    </row>
    <row r="44" spans="2:3" x14ac:dyDescent="0.25">
      <c r="B44" vm="21">
        <f ca="1"/>
        <v>45303</v>
      </c>
      <c r="C44" vm="1082">
        <f ca="1"/>
        <v>75.2</v>
      </c>
    </row>
    <row r="45" spans="2:3" x14ac:dyDescent="0.25">
      <c r="B45" vm="23">
        <f ca="1"/>
        <v>45306</v>
      </c>
      <c r="C45" vm="1083">
        <f ca="1"/>
        <v>73.849999999999994</v>
      </c>
    </row>
    <row r="46" spans="2:3" x14ac:dyDescent="0.25">
      <c r="B46" vm="25">
        <f ca="1"/>
        <v>45307</v>
      </c>
      <c r="C46" vm="532">
        <f ca="1"/>
        <v>71.75</v>
      </c>
    </row>
    <row r="47" spans="2:3" x14ac:dyDescent="0.25">
      <c r="B47" vm="27">
        <f ca="1"/>
        <v>45308</v>
      </c>
      <c r="C47" vm="1084">
        <f ca="1"/>
        <v>68.2</v>
      </c>
    </row>
    <row r="48" spans="2:3" x14ac:dyDescent="0.25">
      <c r="B48" vm="29">
        <f ca="1"/>
        <v>45309</v>
      </c>
      <c r="C48" vm="1085">
        <f ca="1"/>
        <v>68.5</v>
      </c>
    </row>
    <row r="49" spans="2:3" x14ac:dyDescent="0.25">
      <c r="B49" vm="31">
        <f ca="1"/>
        <v>45310</v>
      </c>
      <c r="C49" vm="1086">
        <f ca="1"/>
        <v>66.75</v>
      </c>
    </row>
    <row r="50" spans="2:3" x14ac:dyDescent="0.25">
      <c r="B50" vm="33">
        <f ca="1"/>
        <v>45313</v>
      </c>
      <c r="C50" vm="1087">
        <f ca="1"/>
        <v>67.150000000000006</v>
      </c>
    </row>
    <row r="51" spans="2:3" x14ac:dyDescent="0.25">
      <c r="B51" vm="35">
        <f ca="1"/>
        <v>45314</v>
      </c>
      <c r="C51" vm="1088">
        <f ca="1"/>
        <v>70.45</v>
      </c>
    </row>
    <row r="52" spans="2:3" x14ac:dyDescent="0.25">
      <c r="B52" vm="37">
        <f ca="1"/>
        <v>45315</v>
      </c>
      <c r="C52" vm="1089">
        <f ca="1"/>
        <v>72.2</v>
      </c>
    </row>
    <row r="53" spans="2:3" x14ac:dyDescent="0.25">
      <c r="B53" vm="39">
        <f ca="1"/>
        <v>45316</v>
      </c>
      <c r="C53" vm="538">
        <f ca="1"/>
        <v>72.349999999999994</v>
      </c>
    </row>
    <row r="54" spans="2:3" x14ac:dyDescent="0.25">
      <c r="B54" vm="41">
        <f ca="1"/>
        <v>45317</v>
      </c>
      <c r="C54" vm="1090">
        <f ca="1"/>
        <v>77.8</v>
      </c>
    </row>
    <row r="55" spans="2:3" x14ac:dyDescent="0.25">
      <c r="B55" vm="43">
        <f ca="1"/>
        <v>45320</v>
      </c>
      <c r="C55" vm="1091">
        <f ca="1"/>
        <v>73.650000000000006</v>
      </c>
    </row>
    <row r="56" spans="2:3" x14ac:dyDescent="0.25">
      <c r="B56" vm="45">
        <f ca="1"/>
        <v>45321</v>
      </c>
      <c r="C56" vm="1092">
        <f ca="1"/>
        <v>75.599999999999994</v>
      </c>
    </row>
    <row r="57" spans="2:3" x14ac:dyDescent="0.25">
      <c r="B57" vm="47">
        <f ca="1"/>
        <v>45322</v>
      </c>
      <c r="C57" vm="472">
        <f ca="1"/>
        <v>78.599999999999994</v>
      </c>
    </row>
    <row r="58" spans="2:3" x14ac:dyDescent="0.25">
      <c r="B58" vm="49">
        <f ca="1"/>
        <v>45323</v>
      </c>
      <c r="C58" vm="1093">
        <f ca="1"/>
        <v>78.8</v>
      </c>
    </row>
    <row r="59" spans="2:3" x14ac:dyDescent="0.25">
      <c r="B59" vm="51">
        <f ca="1"/>
        <v>45324</v>
      </c>
      <c r="C59" vm="523">
        <f ca="1"/>
        <v>77.150000000000006</v>
      </c>
    </row>
    <row r="60" spans="2:3" x14ac:dyDescent="0.25">
      <c r="B60" vm="53">
        <f ca="1"/>
        <v>45327</v>
      </c>
      <c r="C60" vm="530">
        <f ca="1"/>
        <v>72.55</v>
      </c>
    </row>
    <row r="61" spans="2:3" x14ac:dyDescent="0.25">
      <c r="B61" vm="55">
        <f ca="1"/>
        <v>45328</v>
      </c>
      <c r="C61" vm="1094">
        <f ca="1"/>
        <v>73</v>
      </c>
    </row>
    <row r="62" spans="2:3" x14ac:dyDescent="0.25">
      <c r="B62" vm="57">
        <f ca="1"/>
        <v>45329</v>
      </c>
      <c r="C62" vm="1095">
        <f ca="1"/>
        <v>70</v>
      </c>
    </row>
    <row r="63" spans="2:3" x14ac:dyDescent="0.25">
      <c r="B63" vm="59">
        <f ca="1"/>
        <v>45330</v>
      </c>
      <c r="C63" vm="1096">
        <f ca="1"/>
        <v>70.900000000000006</v>
      </c>
    </row>
    <row r="64" spans="2:3" x14ac:dyDescent="0.25">
      <c r="B64" vm="61">
        <f ca="1"/>
        <v>45331</v>
      </c>
      <c r="C64" vm="1097">
        <f ca="1"/>
        <v>70.25</v>
      </c>
    </row>
    <row r="65" spans="2:3" x14ac:dyDescent="0.25">
      <c r="B65" vm="63">
        <f ca="1"/>
        <v>45334</v>
      </c>
      <c r="C65" vm="1098">
        <f ca="1"/>
        <v>71.55</v>
      </c>
    </row>
    <row r="66" spans="2:3" x14ac:dyDescent="0.25">
      <c r="B66" vm="65">
        <f ca="1"/>
        <v>45335</v>
      </c>
      <c r="C66" vm="1099">
        <f ca="1"/>
        <v>70.05</v>
      </c>
    </row>
    <row r="67" spans="2:3" x14ac:dyDescent="0.25">
      <c r="B67" vm="67">
        <f ca="1"/>
        <v>45336</v>
      </c>
      <c r="C67" vm="1100">
        <f ca="1"/>
        <v>70.5</v>
      </c>
    </row>
    <row r="68" spans="2:3" x14ac:dyDescent="0.25">
      <c r="B68" vm="69">
        <f ca="1"/>
        <v>45337</v>
      </c>
      <c r="C68" vm="1101">
        <f ca="1"/>
        <v>72.150000000000006</v>
      </c>
    </row>
    <row r="69" spans="2:3" x14ac:dyDescent="0.25">
      <c r="B69" vm="71">
        <f ca="1"/>
        <v>45338</v>
      </c>
      <c r="C69" vm="1102">
        <f ca="1"/>
        <v>72.45</v>
      </c>
    </row>
    <row r="70" spans="2:3" x14ac:dyDescent="0.25">
      <c r="B70" vm="73">
        <f ca="1"/>
        <v>45341</v>
      </c>
      <c r="C70" vm="514">
        <f ca="1"/>
        <v>72.7</v>
      </c>
    </row>
    <row r="71" spans="2:3" x14ac:dyDescent="0.25">
      <c r="B71" vm="75">
        <f ca="1"/>
        <v>45342</v>
      </c>
      <c r="C71" vm="1103">
        <f ca="1"/>
        <v>72.05</v>
      </c>
    </row>
    <row r="72" spans="2:3" x14ac:dyDescent="0.25">
      <c r="B72" vm="77">
        <f ca="1"/>
        <v>45343</v>
      </c>
      <c r="C72" vm="1104">
        <f ca="1"/>
        <v>69.8</v>
      </c>
    </row>
    <row r="73" spans="2:3" x14ac:dyDescent="0.25">
      <c r="B73" vm="79">
        <f ca="1"/>
        <v>45344</v>
      </c>
      <c r="C73" vm="1105">
        <f ca="1"/>
        <v>69.599999999999994</v>
      </c>
    </row>
    <row r="74" spans="2:3" x14ac:dyDescent="0.25">
      <c r="B74" vm="81">
        <f ca="1"/>
        <v>45345</v>
      </c>
      <c r="C74" vm="1106">
        <f ca="1"/>
        <v>66.95</v>
      </c>
    </row>
    <row r="75" spans="2:3" x14ac:dyDescent="0.25">
      <c r="B75" vm="83">
        <f ca="1"/>
        <v>45348</v>
      </c>
      <c r="C75" vm="1107">
        <f ca="1"/>
        <v>64.5</v>
      </c>
    </row>
    <row r="76" spans="2:3" x14ac:dyDescent="0.25">
      <c r="B76" vm="85">
        <f ca="1"/>
        <v>45349</v>
      </c>
      <c r="C76" vm="1108">
        <f ca="1"/>
        <v>64.849999999999994</v>
      </c>
    </row>
    <row r="77" spans="2:3" x14ac:dyDescent="0.25">
      <c r="B77" vm="87">
        <f ca="1"/>
        <v>45350</v>
      </c>
      <c r="C77" vm="1109">
        <f ca="1"/>
        <v>64.150000000000006</v>
      </c>
    </row>
    <row r="78" spans="2:3" x14ac:dyDescent="0.25">
      <c r="B78" vm="89">
        <f ca="1"/>
        <v>45351</v>
      </c>
      <c r="C78" vm="1110">
        <f ca="1"/>
        <v>65.650000000000006</v>
      </c>
    </row>
    <row r="79" spans="2:3" x14ac:dyDescent="0.25">
      <c r="B79" vm="91">
        <f ca="1"/>
        <v>45352</v>
      </c>
      <c r="C79" vm="1111">
        <f ca="1"/>
        <v>67.45</v>
      </c>
    </row>
    <row r="80" spans="2:3" x14ac:dyDescent="0.25">
      <c r="B80" vm="93">
        <f ca="1"/>
        <v>45355</v>
      </c>
      <c r="C80" vm="1112">
        <f ca="1"/>
        <v>67.7</v>
      </c>
    </row>
    <row r="81" spans="2:3" x14ac:dyDescent="0.25">
      <c r="B81" vm="95">
        <f ca="1"/>
        <v>45356</v>
      </c>
      <c r="C81" vm="1113">
        <f ca="1"/>
        <v>68</v>
      </c>
    </row>
    <row r="82" spans="2:3" x14ac:dyDescent="0.25">
      <c r="B82" vm="97">
        <f ca="1"/>
        <v>45357</v>
      </c>
      <c r="C82" vm="1114">
        <f ca="1"/>
        <v>66.5</v>
      </c>
    </row>
    <row r="83" spans="2:3" x14ac:dyDescent="0.25">
      <c r="B83" vm="99">
        <f ca="1"/>
        <v>45358</v>
      </c>
      <c r="C83" vm="1115">
        <f ca="1"/>
        <v>67.75</v>
      </c>
    </row>
    <row r="84" spans="2:3" x14ac:dyDescent="0.25">
      <c r="B84" vm="101">
        <f ca="1"/>
        <v>45359</v>
      </c>
      <c r="C84" vm="1084">
        <f ca="1"/>
        <v>68.2</v>
      </c>
    </row>
    <row r="85" spans="2:3" x14ac:dyDescent="0.25">
      <c r="B85" vm="103">
        <f ca="1"/>
        <v>45362</v>
      </c>
      <c r="C85" vm="1116">
        <f ca="1"/>
        <v>64.650000000000006</v>
      </c>
    </row>
    <row r="86" spans="2:3" x14ac:dyDescent="0.25">
      <c r="B86" vm="105">
        <f ca="1"/>
        <v>45363</v>
      </c>
      <c r="C86" vm="1117">
        <f ca="1"/>
        <v>64.400000000000006</v>
      </c>
    </row>
    <row r="87" spans="2:3" x14ac:dyDescent="0.25">
      <c r="B87" vm="107">
        <f ca="1"/>
        <v>45364</v>
      </c>
      <c r="C87" vm="1118">
        <f ca="1"/>
        <v>64.25</v>
      </c>
    </row>
    <row r="88" spans="2:3" x14ac:dyDescent="0.25">
      <c r="B88" vm="109">
        <f ca="1"/>
        <v>45365</v>
      </c>
      <c r="C88" vm="536">
        <f ca="1"/>
        <v>69.2</v>
      </c>
    </row>
    <row r="89" spans="2:3" x14ac:dyDescent="0.25">
      <c r="B89" vm="111">
        <f ca="1"/>
        <v>45366</v>
      </c>
      <c r="C89" vm="1115">
        <f ca="1"/>
        <v>67.75</v>
      </c>
    </row>
    <row r="90" spans="2:3" x14ac:dyDescent="0.25">
      <c r="B90" vm="113">
        <f ca="1"/>
        <v>45369</v>
      </c>
      <c r="C90" vm="1119">
        <f ca="1"/>
        <v>66.849999999999994</v>
      </c>
    </row>
    <row r="91" spans="2:3" x14ac:dyDescent="0.25">
      <c r="B91" vm="115">
        <f ca="1"/>
        <v>45370</v>
      </c>
      <c r="C91" vm="1120">
        <f ca="1"/>
        <v>68.849999999999994</v>
      </c>
    </row>
    <row r="92" spans="2:3" x14ac:dyDescent="0.25">
      <c r="B92" vm="117">
        <f ca="1"/>
        <v>45371</v>
      </c>
      <c r="C92" vm="1121">
        <f ca="1"/>
        <v>71</v>
      </c>
    </row>
    <row r="93" spans="2:3" x14ac:dyDescent="0.25">
      <c r="B93" vm="119">
        <f ca="1"/>
        <v>45372</v>
      </c>
      <c r="C93" vm="1122">
        <f ca="1"/>
        <v>72.099999999999994</v>
      </c>
    </row>
    <row r="94" spans="2:3" x14ac:dyDescent="0.25">
      <c r="B94" vm="121">
        <f ca="1"/>
        <v>45373</v>
      </c>
      <c r="C94" vm="1123">
        <f ca="1"/>
        <v>73.599999999999994</v>
      </c>
    </row>
    <row r="95" spans="2:3" x14ac:dyDescent="0.25">
      <c r="B95" vm="123">
        <f ca="1"/>
        <v>45376</v>
      </c>
      <c r="C95" vm="1094">
        <f ca="1"/>
        <v>73</v>
      </c>
    </row>
    <row r="96" spans="2:3" x14ac:dyDescent="0.25">
      <c r="B96" vm="125">
        <f ca="1"/>
        <v>45377</v>
      </c>
      <c r="C96" vm="538">
        <f ca="1"/>
        <v>72.349999999999994</v>
      </c>
    </row>
    <row r="97" spans="2:3" x14ac:dyDescent="0.25">
      <c r="B97" vm="127">
        <f ca="1"/>
        <v>45378</v>
      </c>
      <c r="C97" vm="1101">
        <f ca="1"/>
        <v>72.150000000000006</v>
      </c>
    </row>
    <row r="98" spans="2:3" x14ac:dyDescent="0.25">
      <c r="B98" vm="129">
        <f ca="1"/>
        <v>45384</v>
      </c>
      <c r="C98" vm="1101">
        <f ca="1"/>
        <v>72.150000000000006</v>
      </c>
    </row>
    <row r="99" spans="2:3" x14ac:dyDescent="0.25">
      <c r="B99" vm="131">
        <f ca="1"/>
        <v>45385</v>
      </c>
      <c r="C99" vm="1124">
        <f ca="1"/>
        <v>68.650000000000006</v>
      </c>
    </row>
    <row r="100" spans="2:3" x14ac:dyDescent="0.25">
      <c r="B100" vm="133">
        <f ca="1"/>
        <v>45386</v>
      </c>
      <c r="C100" vm="1125">
        <f ca="1"/>
        <v>73.150000000000006</v>
      </c>
    </row>
    <row r="101" spans="2:3" x14ac:dyDescent="0.25">
      <c r="B101" vm="135">
        <f ca="1"/>
        <v>45387</v>
      </c>
      <c r="C101" vm="1126">
        <f ca="1"/>
        <v>73.349999999999994</v>
      </c>
    </row>
    <row r="102" spans="2:3" x14ac:dyDescent="0.25">
      <c r="B102" vm="137">
        <f ca="1"/>
        <v>45390</v>
      </c>
      <c r="C102" vm="1127">
        <f ca="1"/>
        <v>75.25</v>
      </c>
    </row>
    <row r="103" spans="2:3" x14ac:dyDescent="0.25">
      <c r="B103" vm="139">
        <f ca="1"/>
        <v>45391</v>
      </c>
      <c r="C103" vm="1128">
        <f ca="1"/>
        <v>78.45</v>
      </c>
    </row>
    <row r="104" spans="2:3" x14ac:dyDescent="0.25">
      <c r="B104" vm="141">
        <f ca="1"/>
        <v>45392</v>
      </c>
      <c r="C104" vm="1129">
        <f ca="1"/>
        <v>75.5</v>
      </c>
    </row>
    <row r="105" spans="2:3" x14ac:dyDescent="0.25">
      <c r="B105" vm="143">
        <f ca="1"/>
        <v>45393</v>
      </c>
      <c r="C105" vm="1130">
        <f ca="1"/>
        <v>76.05</v>
      </c>
    </row>
    <row r="106" spans="2:3" x14ac:dyDescent="0.25">
      <c r="B106" vm="145">
        <f ca="1"/>
        <v>45394</v>
      </c>
      <c r="C106" vm="1131">
        <f ca="1"/>
        <v>76.400000000000006</v>
      </c>
    </row>
    <row r="107" spans="2:3" x14ac:dyDescent="0.25">
      <c r="B107" vm="147">
        <f ca="1"/>
        <v>45397</v>
      </c>
      <c r="C107" vm="1132">
        <f ca="1"/>
        <v>71.3</v>
      </c>
    </row>
    <row r="108" spans="2:3" x14ac:dyDescent="0.25">
      <c r="B108" vm="149">
        <f ca="1"/>
        <v>45398</v>
      </c>
      <c r="C108" vm="1099">
        <f ca="1"/>
        <v>70.05</v>
      </c>
    </row>
    <row r="109" spans="2:3" x14ac:dyDescent="0.25">
      <c r="B109" vm="151">
        <f ca="1"/>
        <v>45399</v>
      </c>
      <c r="C109" vm="1133">
        <f ca="1"/>
        <v>70.650000000000006</v>
      </c>
    </row>
    <row r="110" spans="2:3" x14ac:dyDescent="0.25">
      <c r="B110" vm="153">
        <f ca="1"/>
        <v>45400</v>
      </c>
      <c r="C110" vm="1134">
        <f ca="1"/>
        <v>69.7</v>
      </c>
    </row>
    <row r="111" spans="2:3" x14ac:dyDescent="0.25">
      <c r="B111" vm="155">
        <f ca="1"/>
        <v>45401</v>
      </c>
      <c r="C111" vm="1135">
        <f ca="1"/>
        <v>66.7</v>
      </c>
    </row>
    <row r="112" spans="2:3" x14ac:dyDescent="0.25">
      <c r="B112" vm="157">
        <f ca="1"/>
        <v>45404</v>
      </c>
      <c r="C112" vm="1136">
        <f ca="1"/>
        <v>67.3</v>
      </c>
    </row>
    <row r="113" spans="2:3" x14ac:dyDescent="0.25">
      <c r="B113" vm="159">
        <f ca="1"/>
        <v>45405</v>
      </c>
      <c r="C113" vm="1137">
        <f ca="1"/>
        <v>70.150000000000006</v>
      </c>
    </row>
    <row r="114" spans="2:3" x14ac:dyDescent="0.25">
      <c r="B114" vm="161">
        <f ca="1"/>
        <v>45406</v>
      </c>
      <c r="C114" vm="1095">
        <f ca="1"/>
        <v>70</v>
      </c>
    </row>
    <row r="115" spans="2:3" x14ac:dyDescent="0.25">
      <c r="B115" vm="163">
        <f ca="1"/>
        <v>45407</v>
      </c>
      <c r="C115" vm="1138">
        <f ca="1"/>
        <v>70.8</v>
      </c>
    </row>
    <row r="116" spans="2:3" x14ac:dyDescent="0.25">
      <c r="B116" vm="165">
        <f ca="1"/>
        <v>45408</v>
      </c>
      <c r="C116" vm="511">
        <f ca="1"/>
        <v>74.05</v>
      </c>
    </row>
    <row r="117" spans="2:3" x14ac:dyDescent="0.25">
      <c r="B117" vm="167">
        <f ca="1"/>
        <v>45411</v>
      </c>
      <c r="C117" vm="1139">
        <f ca="1"/>
        <v>74.150000000000006</v>
      </c>
    </row>
    <row r="118" spans="2:3" x14ac:dyDescent="0.25">
      <c r="B118" vm="169">
        <f ca="1"/>
        <v>45412</v>
      </c>
      <c r="C118" vm="1140">
        <f ca="1"/>
        <v>81.55</v>
      </c>
    </row>
    <row r="119" spans="2:3" x14ac:dyDescent="0.25">
      <c r="B119" vm="171">
        <f ca="1"/>
        <v>45414</v>
      </c>
      <c r="C119" vm="1141">
        <f ca="1"/>
        <v>75.349999999999994</v>
      </c>
    </row>
    <row r="120" spans="2:3" x14ac:dyDescent="0.25">
      <c r="B120" vm="173">
        <f ca="1"/>
        <v>45415</v>
      </c>
      <c r="C120" vm="1142">
        <f ca="1"/>
        <v>76.2</v>
      </c>
    </row>
    <row r="121" spans="2:3" x14ac:dyDescent="0.25">
      <c r="B121" vm="175">
        <f ca="1"/>
        <v>45418</v>
      </c>
      <c r="C121" vm="1143">
        <f ca="1"/>
        <v>76.75</v>
      </c>
    </row>
    <row r="122" spans="2:3" x14ac:dyDescent="0.25">
      <c r="B122" vm="177">
        <f ca="1"/>
        <v>45419</v>
      </c>
      <c r="C122" vm="1144">
        <f ca="1"/>
        <v>77.2</v>
      </c>
    </row>
    <row r="123" spans="2:3" x14ac:dyDescent="0.25">
      <c r="B123" vm="179">
        <f ca="1"/>
        <v>45420</v>
      </c>
      <c r="C123" vm="1145">
        <f ca="1"/>
        <v>79.5</v>
      </c>
    </row>
    <row r="124" spans="2:3" x14ac:dyDescent="0.25">
      <c r="B124" vm="181">
        <f ca="1"/>
        <v>45422</v>
      </c>
      <c r="C124" vm="1146">
        <f ca="1"/>
        <v>79.25</v>
      </c>
    </row>
    <row r="125" spans="2:3" x14ac:dyDescent="0.25">
      <c r="B125" vm="183">
        <f ca="1"/>
        <v>45425</v>
      </c>
      <c r="C125" vm="472">
        <f ca="1"/>
        <v>78.599999999999994</v>
      </c>
    </row>
    <row r="126" spans="2:3" x14ac:dyDescent="0.25">
      <c r="B126" vm="185">
        <f ca="1"/>
        <v>45426</v>
      </c>
      <c r="C126" vm="1147">
        <f ca="1"/>
        <v>78.150000000000006</v>
      </c>
    </row>
    <row r="127" spans="2:3" x14ac:dyDescent="0.25">
      <c r="B127" vm="187">
        <f ca="1"/>
        <v>45427</v>
      </c>
      <c r="C127" vm="1130">
        <f ca="1"/>
        <v>76.05</v>
      </c>
    </row>
    <row r="128" spans="2:3" x14ac:dyDescent="0.25">
      <c r="B128" vm="189">
        <f ca="1"/>
        <v>45428</v>
      </c>
      <c r="C128" vm="1148">
        <f ca="1"/>
        <v>76</v>
      </c>
    </row>
    <row r="129" spans="2:3" x14ac:dyDescent="0.25">
      <c r="B129" vm="191">
        <f ca="1"/>
        <v>45433</v>
      </c>
      <c r="C129" vm="1083">
        <f ca="1"/>
        <v>73.849999999999994</v>
      </c>
    </row>
    <row r="130" spans="2:3" x14ac:dyDescent="0.25">
      <c r="B130" vm="193">
        <f ca="1"/>
        <v>45434</v>
      </c>
      <c r="C130" vm="1149">
        <f ca="1"/>
        <v>77.900000000000006</v>
      </c>
    </row>
    <row r="131" spans="2:3" x14ac:dyDescent="0.25">
      <c r="B131" vm="195">
        <f ca="1"/>
        <v>45435</v>
      </c>
      <c r="C131" vm="1150">
        <f ca="1"/>
        <v>78.099999999999994</v>
      </c>
    </row>
    <row r="132" spans="2:3" x14ac:dyDescent="0.25">
      <c r="B132" vm="197">
        <f ca="1"/>
        <v>45436</v>
      </c>
      <c r="C132" vm="518">
        <f ca="1"/>
        <v>76.900000000000006</v>
      </c>
    </row>
    <row r="133" spans="2:3" x14ac:dyDescent="0.25">
      <c r="B133" vm="199">
        <f ca="1"/>
        <v>45439</v>
      </c>
      <c r="C133" vm="1128">
        <f ca="1"/>
        <v>78.45</v>
      </c>
    </row>
    <row r="134" spans="2:3" x14ac:dyDescent="0.25">
      <c r="B134" vm="201">
        <f ca="1"/>
        <v>45440</v>
      </c>
      <c r="C134" vm="1151">
        <f ca="1"/>
        <v>79.55</v>
      </c>
    </row>
    <row r="135" spans="2:3" x14ac:dyDescent="0.25">
      <c r="B135" vm="203">
        <f ca="1"/>
        <v>45441</v>
      </c>
      <c r="C135" vm="1128">
        <f ca="1"/>
        <v>78.45</v>
      </c>
    </row>
    <row r="136" spans="2:3" x14ac:dyDescent="0.25">
      <c r="B136" vm="205">
        <f ca="1"/>
        <v>45442</v>
      </c>
      <c r="C136" vm="1152">
        <f ca="1"/>
        <v>86.5</v>
      </c>
    </row>
    <row r="137" spans="2:3" x14ac:dyDescent="0.25">
      <c r="B137" vm="207">
        <f ca="1"/>
        <v>45443</v>
      </c>
      <c r="C137" vm="1153">
        <f ca="1"/>
        <v>87.15</v>
      </c>
    </row>
    <row r="138" spans="2:3" x14ac:dyDescent="0.25">
      <c r="B138" vm="209">
        <f ca="1"/>
        <v>45446</v>
      </c>
      <c r="C138" vm="1154">
        <f ca="1"/>
        <v>86.4</v>
      </c>
    </row>
    <row r="139" spans="2:3" x14ac:dyDescent="0.25">
      <c r="B139" vm="211">
        <f ca="1"/>
        <v>45447</v>
      </c>
      <c r="C139" vm="1155">
        <f ca="1"/>
        <v>85</v>
      </c>
    </row>
    <row r="140" spans="2:3" x14ac:dyDescent="0.25">
      <c r="B140" vm="213">
        <f ca="1"/>
        <v>45448</v>
      </c>
      <c r="C140" vm="1156">
        <f ca="1"/>
        <v>86.75</v>
      </c>
    </row>
    <row r="141" spans="2:3" x14ac:dyDescent="0.25">
      <c r="B141" vm="215">
        <f ca="1"/>
        <v>45449</v>
      </c>
      <c r="C141" vm="1157">
        <f ca="1"/>
        <v>87</v>
      </c>
    </row>
    <row r="142" spans="2:3" x14ac:dyDescent="0.25">
      <c r="B142" vm="217">
        <f ca="1"/>
        <v>45450</v>
      </c>
      <c r="C142" vm="1158">
        <f ca="1"/>
        <v>85.05</v>
      </c>
    </row>
    <row r="143" spans="2:3" x14ac:dyDescent="0.25">
      <c r="B143" vm="219">
        <f ca="1"/>
        <v>45453</v>
      </c>
      <c r="C143" vm="1159">
        <f ca="1"/>
        <v>84</v>
      </c>
    </row>
    <row r="144" spans="2:3" x14ac:dyDescent="0.25">
      <c r="B144" vm="221">
        <f ca="1"/>
        <v>45454</v>
      </c>
      <c r="C144" vm="1160">
        <f ca="1"/>
        <v>83.4</v>
      </c>
    </row>
    <row r="145" spans="2:3" x14ac:dyDescent="0.25">
      <c r="B145" vm="223">
        <f ca="1"/>
        <v>45455</v>
      </c>
      <c r="C145" vm="1161">
        <f ca="1"/>
        <v>84.85</v>
      </c>
    </row>
    <row r="146" spans="2:3" x14ac:dyDescent="0.25">
      <c r="B146" vm="225">
        <f ca="1"/>
        <v>45456</v>
      </c>
      <c r="C146" vm="1162">
        <f ca="1"/>
        <v>84.9</v>
      </c>
    </row>
    <row r="147" spans="2:3" x14ac:dyDescent="0.25">
      <c r="B147" vm="227">
        <f ca="1"/>
        <v>45457</v>
      </c>
      <c r="C147" vm="1163">
        <f ca="1"/>
        <v>87.2</v>
      </c>
    </row>
    <row r="148" spans="2:3" x14ac:dyDescent="0.25">
      <c r="B148" vm="229">
        <f ca="1"/>
        <v>45460</v>
      </c>
      <c r="C148" vm="490">
        <f ca="1"/>
        <v>87.3</v>
      </c>
    </row>
    <row r="149" spans="2:3" x14ac:dyDescent="0.25">
      <c r="B149" vm="231">
        <f ca="1"/>
        <v>45461</v>
      </c>
      <c r="C149" vm="1164">
        <f ca="1"/>
        <v>88.8</v>
      </c>
    </row>
    <row r="150" spans="2:3" x14ac:dyDescent="0.25">
      <c r="B150" vm="233">
        <f ca="1"/>
        <v>45462</v>
      </c>
      <c r="C150" vm="1165">
        <f ca="1"/>
        <v>88.9</v>
      </c>
    </row>
    <row r="151" spans="2:3" x14ac:dyDescent="0.25">
      <c r="B151" vm="235">
        <f ca="1"/>
        <v>45463</v>
      </c>
      <c r="C151" vm="1166">
        <f ca="1"/>
        <v>90.85</v>
      </c>
    </row>
    <row r="152" spans="2:3" x14ac:dyDescent="0.25">
      <c r="B152" vm="237">
        <f ca="1"/>
        <v>45464</v>
      </c>
      <c r="C152" vm="1167">
        <f ca="1"/>
        <v>89.2</v>
      </c>
    </row>
    <row r="153" spans="2:3" x14ac:dyDescent="0.25">
      <c r="B153" vm="239">
        <f ca="1"/>
        <v>45467</v>
      </c>
      <c r="C153" vm="1168">
        <f ca="1"/>
        <v>88.25</v>
      </c>
    </row>
    <row r="154" spans="2:3" x14ac:dyDescent="0.25">
      <c r="B154" vm="241">
        <f ca="1"/>
        <v>45468</v>
      </c>
      <c r="C154" vm="1169">
        <f ca="1"/>
        <v>88.45</v>
      </c>
    </row>
    <row r="155" spans="2:3" x14ac:dyDescent="0.25">
      <c r="B155" vm="243">
        <f ca="1"/>
        <v>45469</v>
      </c>
      <c r="C155" vm="1170">
        <f ca="1"/>
        <v>88.4</v>
      </c>
    </row>
    <row r="156" spans="2:3" x14ac:dyDescent="0.25">
      <c r="B156" vm="245">
        <f ca="1"/>
        <v>45470</v>
      </c>
      <c r="C156" vm="1154">
        <f ca="1"/>
        <v>86.4</v>
      </c>
    </row>
    <row r="157" spans="2:3" x14ac:dyDescent="0.25">
      <c r="B157" vm="247">
        <f ca="1"/>
        <v>45471</v>
      </c>
      <c r="C157" vm="1171">
        <f ca="1"/>
        <v>86.65</v>
      </c>
    </row>
    <row r="158" spans="2:3" x14ac:dyDescent="0.25">
      <c r="B158" vm="249">
        <f ca="1"/>
        <v>45474</v>
      </c>
      <c r="C158" vm="1172">
        <f ca="1"/>
        <v>85.9</v>
      </c>
    </row>
    <row r="159" spans="2:3" x14ac:dyDescent="0.25">
      <c r="B159" vm="251">
        <f ca="1"/>
        <v>45475</v>
      </c>
      <c r="C159" vm="1173">
        <f ca="1"/>
        <v>83.05</v>
      </c>
    </row>
    <row r="160" spans="2:3" x14ac:dyDescent="0.25">
      <c r="B160" vm="253">
        <f ca="1"/>
        <v>45476</v>
      </c>
      <c r="C160" vm="1174">
        <f ca="1"/>
        <v>82.95</v>
      </c>
    </row>
    <row r="161" spans="2:3" x14ac:dyDescent="0.25">
      <c r="B161" vm="255">
        <f ca="1"/>
        <v>45477</v>
      </c>
      <c r="C161" vm="1175">
        <f ca="1"/>
        <v>83.7</v>
      </c>
    </row>
    <row r="162" spans="2:3" x14ac:dyDescent="0.25">
      <c r="B162" vm="257">
        <f ca="1"/>
        <v>45478</v>
      </c>
      <c r="C162" vm="1176">
        <f ca="1"/>
        <v>83</v>
      </c>
    </row>
    <row r="163" spans="2:3" x14ac:dyDescent="0.25">
      <c r="B163" vm="259">
        <f ca="1"/>
        <v>45481</v>
      </c>
      <c r="C163" vm="1176">
        <f ca="1"/>
        <v>83</v>
      </c>
    </row>
    <row r="164" spans="2:3" x14ac:dyDescent="0.25">
      <c r="B164" vm="261">
        <f ca="1"/>
        <v>45482</v>
      </c>
      <c r="C164" vm="500">
        <f ca="1"/>
        <v>83.3</v>
      </c>
    </row>
    <row r="165" spans="2:3" x14ac:dyDescent="0.25">
      <c r="B165" vm="263">
        <f ca="1"/>
        <v>45483</v>
      </c>
      <c r="C165" vm="1177">
        <f ca="1"/>
        <v>84.6</v>
      </c>
    </row>
    <row r="166" spans="2:3" x14ac:dyDescent="0.25">
      <c r="B166" vm="265">
        <f ca="1"/>
        <v>45484</v>
      </c>
      <c r="C166" vm="1178">
        <f ca="1"/>
        <v>86.45</v>
      </c>
    </row>
    <row r="167" spans="2:3" x14ac:dyDescent="0.25">
      <c r="B167" vm="267">
        <f ca="1"/>
        <v>45485</v>
      </c>
      <c r="C167" vm="480">
        <f ca="1"/>
        <v>88.7</v>
      </c>
    </row>
    <row r="168" spans="2:3" x14ac:dyDescent="0.25">
      <c r="B168" vm="269">
        <f ca="1"/>
        <v>45488</v>
      </c>
      <c r="C168" vm="1179">
        <f ca="1"/>
        <v>87.75</v>
      </c>
    </row>
    <row r="169" spans="2:3" x14ac:dyDescent="0.25">
      <c r="B169" vm="271">
        <f ca="1"/>
        <v>45489</v>
      </c>
      <c r="C169" vm="1180">
        <f ca="1"/>
        <v>86.7</v>
      </c>
    </row>
    <row r="170" spans="2:3" x14ac:dyDescent="0.25">
      <c r="B170" vm="273">
        <f ca="1"/>
        <v>45490</v>
      </c>
      <c r="C170" vm="1181">
        <f ca="1"/>
        <v>86.05</v>
      </c>
    </row>
    <row r="171" spans="2:3" x14ac:dyDescent="0.25">
      <c r="B171" vm="275">
        <f ca="1"/>
        <v>45491</v>
      </c>
      <c r="C171" vm="491">
        <f ca="1"/>
        <v>86.8</v>
      </c>
    </row>
    <row r="172" spans="2:3" x14ac:dyDescent="0.25">
      <c r="B172" vm="277">
        <f ca="1"/>
        <v>45492</v>
      </c>
      <c r="C172" vm="1154">
        <f ca="1"/>
        <v>86.4</v>
      </c>
    </row>
    <row r="173" spans="2:3" x14ac:dyDescent="0.25">
      <c r="B173" vm="279">
        <f ca="1"/>
        <v>45495</v>
      </c>
      <c r="C173" vm="488">
        <f ca="1"/>
        <v>85.6</v>
      </c>
    </row>
    <row r="174" spans="2:3" x14ac:dyDescent="0.25">
      <c r="B174" vm="281">
        <f ca="1"/>
        <v>45496</v>
      </c>
      <c r="C174" vm="546">
        <f ca="1"/>
        <v>86.55</v>
      </c>
    </row>
    <row r="175" spans="2:3" x14ac:dyDescent="0.25">
      <c r="B175" vm="283">
        <f ca="1"/>
        <v>45497</v>
      </c>
      <c r="C175" vm="546">
        <f ca="1"/>
        <v>86.55</v>
      </c>
    </row>
    <row r="176" spans="2:3" x14ac:dyDescent="0.25">
      <c r="B176" vm="285">
        <f ca="1"/>
        <v>45498</v>
      </c>
      <c r="C176" vm="1182">
        <f ca="1"/>
        <v>87.45</v>
      </c>
    </row>
    <row r="177" spans="2:3" x14ac:dyDescent="0.25">
      <c r="B177" vm="287">
        <f ca="1"/>
        <v>45499</v>
      </c>
      <c r="C177" vm="1183">
        <f ca="1"/>
        <v>89.05</v>
      </c>
    </row>
    <row r="178" spans="2:3" x14ac:dyDescent="0.25">
      <c r="B178" vm="289">
        <f ca="1"/>
        <v>45502</v>
      </c>
      <c r="C178" vm="1184">
        <f ca="1"/>
        <v>89.15</v>
      </c>
    </row>
    <row r="179" spans="2:3" x14ac:dyDescent="0.25">
      <c r="B179" vm="291">
        <f ca="1"/>
        <v>45503</v>
      </c>
      <c r="C179" vm="486">
        <f ca="1"/>
        <v>88.85</v>
      </c>
    </row>
    <row r="180" spans="2:3" x14ac:dyDescent="0.25">
      <c r="B180" vm="293">
        <f ca="1"/>
        <v>45504</v>
      </c>
      <c r="C180" vm="1185">
        <f ca="1"/>
        <v>88.1</v>
      </c>
    </row>
    <row r="181" spans="2:3" x14ac:dyDescent="0.25">
      <c r="B181" vm="295">
        <f ca="1"/>
        <v>45505</v>
      </c>
      <c r="C181" vm="1186">
        <f ca="1"/>
        <v>90</v>
      </c>
    </row>
    <row r="182" spans="2:3" x14ac:dyDescent="0.25">
      <c r="B182" vm="297">
        <f ca="1"/>
        <v>45506</v>
      </c>
      <c r="C182" vm="1187">
        <f ca="1"/>
        <v>86.85</v>
      </c>
    </row>
    <row r="183" spans="2:3" x14ac:dyDescent="0.25">
      <c r="B183" vm="299">
        <f ca="1"/>
        <v>45509</v>
      </c>
      <c r="C183" vm="1188">
        <f ca="1"/>
        <v>81.25</v>
      </c>
    </row>
    <row r="184" spans="2:3" x14ac:dyDescent="0.25">
      <c r="B184" vm="301">
        <f ca="1"/>
        <v>45510</v>
      </c>
      <c r="C184" vm="1189">
        <f ca="1"/>
        <v>87.5</v>
      </c>
    </row>
    <row r="185" spans="2:3" x14ac:dyDescent="0.25">
      <c r="B185" vm="303">
        <f ca="1"/>
        <v>45511</v>
      </c>
      <c r="C185" vm="1190">
        <f ca="1"/>
        <v>88.55</v>
      </c>
    </row>
    <row r="186" spans="2:3" x14ac:dyDescent="0.25">
      <c r="B186" vm="305">
        <f ca="1"/>
        <v>45512</v>
      </c>
      <c r="C186" vm="1191">
        <f ca="1"/>
        <v>85.2</v>
      </c>
    </row>
    <row r="187" spans="2:3" x14ac:dyDescent="0.25">
      <c r="B187" vm="307">
        <f ca="1"/>
        <v>45513</v>
      </c>
      <c r="C187" vm="476">
        <f ca="1"/>
        <v>85.85</v>
      </c>
    </row>
    <row r="188" spans="2:3" x14ac:dyDescent="0.25">
      <c r="B188" vm="309">
        <f ca="1"/>
        <v>45516</v>
      </c>
      <c r="C188" vm="1177">
        <f ca="1"/>
        <v>84.6</v>
      </c>
    </row>
    <row r="189" spans="2:3" x14ac:dyDescent="0.25">
      <c r="B189" vm="311">
        <f ca="1"/>
        <v>45517</v>
      </c>
      <c r="C189" vm="498">
        <f ca="1"/>
        <v>84.2</v>
      </c>
    </row>
    <row r="190" spans="2:3" x14ac:dyDescent="0.25">
      <c r="B190" vm="313">
        <f ca="1"/>
        <v>45518</v>
      </c>
      <c r="C190" vm="1192">
        <f ca="1"/>
        <v>87.95</v>
      </c>
    </row>
    <row r="191" spans="2:3" x14ac:dyDescent="0.25">
      <c r="B191" vm="315">
        <f ca="1"/>
        <v>45519</v>
      </c>
      <c r="C191" vm="1193">
        <f ca="1"/>
        <v>88</v>
      </c>
    </row>
    <row r="192" spans="2:3" x14ac:dyDescent="0.25">
      <c r="B192" vm="317">
        <f ca="1"/>
        <v>45520</v>
      </c>
      <c r="C192" vm="1155">
        <f ca="1"/>
        <v>85</v>
      </c>
    </row>
  </sheetData>
  <mergeCells count="4">
    <mergeCell ref="B2:C2"/>
    <mergeCell ref="B24:C24"/>
    <mergeCell ref="B33:C33"/>
    <mergeCell ref="B34:C34"/>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6CC1-F601-4F32-953A-3B340C81AFE7}">
  <sheetPr codeName="Sheet19">
    <tabColor theme="9" tint="0.59999389629810485"/>
  </sheetPr>
  <dimension ref="B2:D192"/>
  <sheetViews>
    <sheetView showGridLines="0" topLeftCell="A16" workbookViewId="0">
      <selection activeCell="C28" sqref="C28"/>
    </sheetView>
  </sheetViews>
  <sheetFormatPr defaultRowHeight="15" x14ac:dyDescent="0.25"/>
  <cols>
    <col min="2" max="2" width="12.7109375" customWidth="1"/>
    <col min="3" max="3" width="16.140625" customWidth="1"/>
    <col min="4" max="4" width="10.140625" bestFit="1" customWidth="1"/>
    <col min="14" max="14" width="10.140625" bestFit="1" customWidth="1"/>
  </cols>
  <sheetData>
    <row r="2" spans="2:4" x14ac:dyDescent="0.25">
      <c r="B2" s="6" t="s">
        <v>18</v>
      </c>
      <c r="C2" s="6"/>
      <c r="D2" s="3"/>
    </row>
    <row r="24" spans="2:4" x14ac:dyDescent="0.25">
      <c r="B24" s="6" t="s">
        <v>19</v>
      </c>
      <c r="C24" s="6"/>
      <c r="D24" s="3"/>
    </row>
    <row r="25" spans="2:4" x14ac:dyDescent="0.25">
      <c r="B25" s="5" t="s">
        <v>20</v>
      </c>
      <c r="C25" s="4" t="s">
        <v>21</v>
      </c>
    </row>
    <row r="26" spans="2:4" x14ac:dyDescent="0.25">
      <c r="B26" s="5" t="s">
        <v>22</v>
      </c>
      <c r="C26" s="4" t="s">
        <v>23</v>
      </c>
    </row>
    <row r="27" spans="2:4" x14ac:dyDescent="0.25">
      <c r="B27" t="s">
        <v>2</v>
      </c>
      <c r="C27" t="e" vm="1194">
        <v>#VALUE!</v>
      </c>
    </row>
    <row r="33" spans="2:3" x14ac:dyDescent="0.25">
      <c r="B33" s="6" t="s">
        <v>28</v>
      </c>
      <c r="C33" s="6"/>
    </row>
    <row r="34" spans="2:3" x14ac:dyDescent="0.25">
      <c r="B34" s="8" t="s">
        <v>29</v>
      </c>
      <c r="C34" s="8"/>
    </row>
    <row r="35" spans="2:3" x14ac:dyDescent="0.25">
      <c r="B35" cm="1" vm="2">
        <f t="array" aca="1" ref="B35:C192" ca="1">_xlfn.STOCKHISTORY(C27,DATE(2023,12,29),TODAY(),0,0,0,1)</f>
        <v>45289</v>
      </c>
      <c r="C35" vm="1195">
        <f ca="1"/>
        <v>569.20000000000005</v>
      </c>
    </row>
    <row r="36" spans="2:3" x14ac:dyDescent="0.25">
      <c r="B36" vm="4">
        <f ca="1"/>
        <v>45293</v>
      </c>
      <c r="C36" vm="1196">
        <f ca="1"/>
        <v>564.4</v>
      </c>
    </row>
    <row r="37" spans="2:3" x14ac:dyDescent="0.25">
      <c r="B37" vm="7">
        <f ca="1"/>
        <v>45294</v>
      </c>
      <c r="C37" vm="1197">
        <f ca="1"/>
        <v>575</v>
      </c>
    </row>
    <row r="38" spans="2:3" x14ac:dyDescent="0.25">
      <c r="B38" vm="9">
        <f ca="1"/>
        <v>45295</v>
      </c>
      <c r="C38" vm="1198">
        <f ca="1"/>
        <v>588.6</v>
      </c>
    </row>
    <row r="39" spans="2:3" x14ac:dyDescent="0.25">
      <c r="B39" vm="11">
        <f ca="1"/>
        <v>45296</v>
      </c>
      <c r="C39" vm="1199">
        <f ca="1"/>
        <v>591</v>
      </c>
    </row>
    <row r="40" spans="2:3" x14ac:dyDescent="0.25">
      <c r="B40" vm="13">
        <f ca="1"/>
        <v>45299</v>
      </c>
      <c r="C40" vm="1200">
        <f ca="1"/>
        <v>596.4</v>
      </c>
    </row>
    <row r="41" spans="2:3" x14ac:dyDescent="0.25">
      <c r="B41" vm="15">
        <f ca="1"/>
        <v>45300</v>
      </c>
      <c r="C41" vm="1201">
        <f ca="1"/>
        <v>594.20000000000005</v>
      </c>
    </row>
    <row r="42" spans="2:3" x14ac:dyDescent="0.25">
      <c r="B42" vm="17">
        <f ca="1"/>
        <v>45301</v>
      </c>
      <c r="C42" vm="1202">
        <f ca="1"/>
        <v>584.79999999999995</v>
      </c>
    </row>
    <row r="43" spans="2:3" x14ac:dyDescent="0.25">
      <c r="B43" vm="19">
        <f ca="1"/>
        <v>45302</v>
      </c>
      <c r="C43" vm="1203">
        <f ca="1"/>
        <v>577</v>
      </c>
    </row>
    <row r="44" spans="2:3" x14ac:dyDescent="0.25">
      <c r="B44" vm="21">
        <f ca="1"/>
        <v>45303</v>
      </c>
      <c r="C44" vm="1204">
        <f ca="1"/>
        <v>583</v>
      </c>
    </row>
    <row r="45" spans="2:3" x14ac:dyDescent="0.25">
      <c r="B45" vm="23">
        <f ca="1"/>
        <v>45306</v>
      </c>
      <c r="C45" vm="1205">
        <f ca="1"/>
        <v>585.6</v>
      </c>
    </row>
    <row r="46" spans="2:3" x14ac:dyDescent="0.25">
      <c r="B46" vm="25">
        <f ca="1"/>
        <v>45307</v>
      </c>
      <c r="C46" vm="1206">
        <f ca="1"/>
        <v>586.6</v>
      </c>
    </row>
    <row r="47" spans="2:3" x14ac:dyDescent="0.25">
      <c r="B47" vm="27">
        <f ca="1"/>
        <v>45308</v>
      </c>
      <c r="C47" vm="1207">
        <f ca="1"/>
        <v>583.4</v>
      </c>
    </row>
    <row r="48" spans="2:3" x14ac:dyDescent="0.25">
      <c r="B48" vm="29">
        <f ca="1"/>
        <v>45309</v>
      </c>
      <c r="C48" vm="1208">
        <f ca="1"/>
        <v>594</v>
      </c>
    </row>
    <row r="49" spans="2:3" x14ac:dyDescent="0.25">
      <c r="B49" vm="31">
        <f ca="1"/>
        <v>45310</v>
      </c>
      <c r="C49" vm="1209">
        <f ca="1"/>
        <v>606.79999999999995</v>
      </c>
    </row>
    <row r="50" spans="2:3" x14ac:dyDescent="0.25">
      <c r="B50" vm="33">
        <f ca="1"/>
        <v>45313</v>
      </c>
      <c r="C50" vm="1210">
        <f ca="1"/>
        <v>608.20000000000005</v>
      </c>
    </row>
    <row r="51" spans="2:3" x14ac:dyDescent="0.25">
      <c r="B51" vm="35">
        <f ca="1"/>
        <v>45314</v>
      </c>
      <c r="C51" vm="1211">
        <f ca="1"/>
        <v>596.20000000000005</v>
      </c>
    </row>
    <row r="52" spans="2:3" x14ac:dyDescent="0.25">
      <c r="B52" vm="37">
        <f ca="1"/>
        <v>45315</v>
      </c>
      <c r="C52" vm="1201">
        <f ca="1"/>
        <v>594.20000000000005</v>
      </c>
    </row>
    <row r="53" spans="2:3" x14ac:dyDescent="0.25">
      <c r="B53" vm="39">
        <f ca="1"/>
        <v>45316</v>
      </c>
      <c r="C53" vm="1212">
        <f ca="1"/>
        <v>580</v>
      </c>
    </row>
    <row r="54" spans="2:3" x14ac:dyDescent="0.25">
      <c r="B54" vm="41">
        <f ca="1"/>
        <v>45317</v>
      </c>
      <c r="C54" vm="1213">
        <f ca="1"/>
        <v>575.4</v>
      </c>
    </row>
    <row r="55" spans="2:3" x14ac:dyDescent="0.25">
      <c r="B55" vm="43">
        <f ca="1"/>
        <v>45320</v>
      </c>
      <c r="C55" vm="1214">
        <f ca="1"/>
        <v>582.6</v>
      </c>
    </row>
    <row r="56" spans="2:3" x14ac:dyDescent="0.25">
      <c r="B56" vm="45">
        <f ca="1"/>
        <v>45321</v>
      </c>
      <c r="C56" vm="1215">
        <f ca="1"/>
        <v>585</v>
      </c>
    </row>
    <row r="57" spans="2:3" x14ac:dyDescent="0.25">
      <c r="B57" vm="47">
        <f ca="1"/>
        <v>45322</v>
      </c>
      <c r="C57" vm="1202">
        <f ca="1"/>
        <v>584.79999999999995</v>
      </c>
    </row>
    <row r="58" spans="2:3" x14ac:dyDescent="0.25">
      <c r="B58" vm="49">
        <f ca="1"/>
        <v>45323</v>
      </c>
      <c r="C58" vm="1216">
        <f ca="1"/>
        <v>581.4</v>
      </c>
    </row>
    <row r="59" spans="2:3" x14ac:dyDescent="0.25">
      <c r="B59" vm="51">
        <f ca="1"/>
        <v>45324</v>
      </c>
      <c r="C59" vm="1217">
        <f ca="1"/>
        <v>591.6</v>
      </c>
    </row>
    <row r="60" spans="2:3" x14ac:dyDescent="0.25">
      <c r="B60" vm="53">
        <f ca="1"/>
        <v>45327</v>
      </c>
      <c r="C60" vm="1218">
        <f ca="1"/>
        <v>598.20000000000005</v>
      </c>
    </row>
    <row r="61" spans="2:3" x14ac:dyDescent="0.25">
      <c r="B61" vm="55">
        <f ca="1"/>
        <v>45328</v>
      </c>
      <c r="C61" vm="1219">
        <f ca="1"/>
        <v>606.6</v>
      </c>
    </row>
    <row r="62" spans="2:3" x14ac:dyDescent="0.25">
      <c r="B62" vm="57">
        <f ca="1"/>
        <v>45329</v>
      </c>
      <c r="C62" vm="1220">
        <f ca="1"/>
        <v>602.4</v>
      </c>
    </row>
    <row r="63" spans="2:3" x14ac:dyDescent="0.25">
      <c r="B63" vm="59">
        <f ca="1"/>
        <v>45330</v>
      </c>
      <c r="C63" vm="1221">
        <f ca="1"/>
        <v>584</v>
      </c>
    </row>
    <row r="64" spans="2:3" x14ac:dyDescent="0.25">
      <c r="B64" vm="61">
        <f ca="1"/>
        <v>45331</v>
      </c>
      <c r="C64" vm="1222">
        <f ca="1"/>
        <v>580.4</v>
      </c>
    </row>
    <row r="65" spans="2:3" x14ac:dyDescent="0.25">
      <c r="B65" vm="63">
        <f ca="1"/>
        <v>45334</v>
      </c>
      <c r="C65" vm="1223">
        <f ca="1"/>
        <v>580.79999999999995</v>
      </c>
    </row>
    <row r="66" spans="2:3" x14ac:dyDescent="0.25">
      <c r="B66" vm="65">
        <f ca="1"/>
        <v>45335</v>
      </c>
      <c r="C66" vm="1212">
        <f ca="1"/>
        <v>580</v>
      </c>
    </row>
    <row r="67" spans="2:3" x14ac:dyDescent="0.25">
      <c r="B67" vm="67">
        <f ca="1"/>
        <v>45336</v>
      </c>
      <c r="C67" vm="1224">
        <f ca="1"/>
        <v>590.20000000000005</v>
      </c>
    </row>
    <row r="68" spans="2:3" x14ac:dyDescent="0.25">
      <c r="B68" vm="69">
        <f ca="1"/>
        <v>45337</v>
      </c>
      <c r="C68" vm="1225">
        <f ca="1"/>
        <v>610</v>
      </c>
    </row>
    <row r="69" spans="2:3" x14ac:dyDescent="0.25">
      <c r="B69" vm="71">
        <f ca="1"/>
        <v>45338</v>
      </c>
      <c r="C69" vm="1226">
        <f ca="1"/>
        <v>632.4</v>
      </c>
    </row>
    <row r="70" spans="2:3" x14ac:dyDescent="0.25">
      <c r="B70" vm="73">
        <f ca="1"/>
        <v>45341</v>
      </c>
      <c r="C70" vm="1227">
        <f ca="1"/>
        <v>628.6</v>
      </c>
    </row>
    <row r="71" spans="2:3" x14ac:dyDescent="0.25">
      <c r="B71" vm="75">
        <f ca="1"/>
        <v>45342</v>
      </c>
      <c r="C71" vm="1228">
        <f ca="1"/>
        <v>637.20000000000005</v>
      </c>
    </row>
    <row r="72" spans="2:3" x14ac:dyDescent="0.25">
      <c r="B72" vm="77">
        <f ca="1"/>
        <v>45343</v>
      </c>
      <c r="C72" vm="1229">
        <f ca="1"/>
        <v>643.79999999999995</v>
      </c>
    </row>
    <row r="73" spans="2:3" x14ac:dyDescent="0.25">
      <c r="B73" vm="79">
        <f ca="1"/>
        <v>45344</v>
      </c>
      <c r="C73" vm="1230">
        <f ca="1"/>
        <v>643</v>
      </c>
    </row>
    <row r="74" spans="2:3" x14ac:dyDescent="0.25">
      <c r="B74" vm="81">
        <f ca="1"/>
        <v>45345</v>
      </c>
      <c r="C74" vm="1231">
        <f ca="1"/>
        <v>649.20000000000005</v>
      </c>
    </row>
    <row r="75" spans="2:3" x14ac:dyDescent="0.25">
      <c r="B75" vm="83">
        <f ca="1"/>
        <v>45348</v>
      </c>
      <c r="C75" vm="1232">
        <f ca="1"/>
        <v>646.6</v>
      </c>
    </row>
    <row r="76" spans="2:3" x14ac:dyDescent="0.25">
      <c r="B76" vm="85">
        <f ca="1"/>
        <v>45349</v>
      </c>
      <c r="C76" vm="1229">
        <f ca="1"/>
        <v>643.79999999999995</v>
      </c>
    </row>
    <row r="77" spans="2:3" x14ac:dyDescent="0.25">
      <c r="B77" vm="87">
        <f ca="1"/>
        <v>45350</v>
      </c>
      <c r="C77" vm="1233">
        <f ca="1"/>
        <v>656.2</v>
      </c>
    </row>
    <row r="78" spans="2:3" x14ac:dyDescent="0.25">
      <c r="B78" vm="89">
        <f ca="1"/>
        <v>45351</v>
      </c>
      <c r="C78" vm="1234">
        <f ca="1"/>
        <v>673.4</v>
      </c>
    </row>
    <row r="79" spans="2:3" x14ac:dyDescent="0.25">
      <c r="B79" vm="91">
        <f ca="1"/>
        <v>45352</v>
      </c>
      <c r="C79" vm="1235">
        <f ca="1"/>
        <v>680.2</v>
      </c>
    </row>
    <row r="80" spans="2:3" x14ac:dyDescent="0.25">
      <c r="B80" vm="93">
        <f ca="1"/>
        <v>45355</v>
      </c>
      <c r="C80" vm="982">
        <f ca="1"/>
        <v>684</v>
      </c>
    </row>
    <row r="81" spans="2:3" x14ac:dyDescent="0.25">
      <c r="B81" vm="95">
        <f ca="1"/>
        <v>45356</v>
      </c>
      <c r="C81" vm="1236">
        <f ca="1"/>
        <v>694.2</v>
      </c>
    </row>
    <row r="82" spans="2:3" x14ac:dyDescent="0.25">
      <c r="B82" vm="97">
        <f ca="1"/>
        <v>45357</v>
      </c>
      <c r="C82" vm="1237">
        <f ca="1"/>
        <v>693.8</v>
      </c>
    </row>
    <row r="83" spans="2:3" x14ac:dyDescent="0.25">
      <c r="B83" vm="99">
        <f ca="1"/>
        <v>45358</v>
      </c>
      <c r="C83" vm="1238">
        <f ca="1"/>
        <v>693.4</v>
      </c>
    </row>
    <row r="84" spans="2:3" x14ac:dyDescent="0.25">
      <c r="B84" vm="101">
        <f ca="1"/>
        <v>45359</v>
      </c>
      <c r="C84" vm="1239">
        <f ca="1"/>
        <v>697.6</v>
      </c>
    </row>
    <row r="85" spans="2:3" x14ac:dyDescent="0.25">
      <c r="B85" vm="103">
        <f ca="1"/>
        <v>45362</v>
      </c>
      <c r="C85" vm="1238">
        <f ca="1"/>
        <v>693.4</v>
      </c>
    </row>
    <row r="86" spans="2:3" x14ac:dyDescent="0.25">
      <c r="B86" vm="105">
        <f ca="1"/>
        <v>45363</v>
      </c>
      <c r="C86" vm="1240">
        <f ca="1"/>
        <v>696.6</v>
      </c>
    </row>
    <row r="87" spans="2:3" x14ac:dyDescent="0.25">
      <c r="B87" vm="107">
        <f ca="1"/>
        <v>45364</v>
      </c>
      <c r="C87" vm="1241">
        <f ca="1"/>
        <v>700</v>
      </c>
    </row>
    <row r="88" spans="2:3" x14ac:dyDescent="0.25">
      <c r="B88" vm="109">
        <f ca="1"/>
        <v>45365</v>
      </c>
      <c r="C88" vm="1237">
        <f ca="1"/>
        <v>693.8</v>
      </c>
    </row>
    <row r="89" spans="2:3" x14ac:dyDescent="0.25">
      <c r="B89" vm="111">
        <f ca="1"/>
        <v>45366</v>
      </c>
      <c r="C89" vm="1240">
        <f ca="1"/>
        <v>696.6</v>
      </c>
    </row>
    <row r="90" spans="2:3" x14ac:dyDescent="0.25">
      <c r="B90" vm="113">
        <f ca="1"/>
        <v>45369</v>
      </c>
      <c r="C90" vm="1242">
        <f ca="1"/>
        <v>697</v>
      </c>
    </row>
    <row r="91" spans="2:3" x14ac:dyDescent="0.25">
      <c r="B91" vm="115">
        <f ca="1"/>
        <v>45370</v>
      </c>
      <c r="C91" vm="1243">
        <f ca="1"/>
        <v>702.8</v>
      </c>
    </row>
    <row r="92" spans="2:3" x14ac:dyDescent="0.25">
      <c r="B92" vm="117">
        <f ca="1"/>
        <v>45371</v>
      </c>
      <c r="C92" vm="1244">
        <f ca="1"/>
        <v>712.2</v>
      </c>
    </row>
    <row r="93" spans="2:3" x14ac:dyDescent="0.25">
      <c r="B93" vm="119">
        <f ca="1"/>
        <v>45372</v>
      </c>
      <c r="C93" vm="1245">
        <f ca="1"/>
        <v>713.4</v>
      </c>
    </row>
    <row r="94" spans="2:3" x14ac:dyDescent="0.25">
      <c r="B94" vm="121">
        <f ca="1"/>
        <v>45373</v>
      </c>
      <c r="C94" vm="1246">
        <f ca="1"/>
        <v>714</v>
      </c>
    </row>
    <row r="95" spans="2:3" x14ac:dyDescent="0.25">
      <c r="B95" vm="123">
        <f ca="1"/>
        <v>45376</v>
      </c>
      <c r="C95" vm="1247">
        <f ca="1"/>
        <v>707.2</v>
      </c>
    </row>
    <row r="96" spans="2:3" x14ac:dyDescent="0.25">
      <c r="B96" vm="125">
        <f ca="1"/>
        <v>45377</v>
      </c>
      <c r="C96" vm="1248">
        <f ca="1"/>
        <v>710</v>
      </c>
    </row>
    <row r="97" spans="2:3" x14ac:dyDescent="0.25">
      <c r="B97" vm="127">
        <f ca="1"/>
        <v>45378</v>
      </c>
      <c r="C97" vm="1249">
        <f ca="1"/>
        <v>715.4</v>
      </c>
    </row>
    <row r="98" spans="2:3" x14ac:dyDescent="0.25">
      <c r="B98" vm="129">
        <f ca="1"/>
        <v>45384</v>
      </c>
      <c r="C98" vm="1250">
        <f ca="1"/>
        <v>682.5</v>
      </c>
    </row>
    <row r="99" spans="2:3" x14ac:dyDescent="0.25">
      <c r="B99" vm="131">
        <f ca="1"/>
        <v>45385</v>
      </c>
      <c r="C99" vm="1251">
        <f ca="1"/>
        <v>671.5</v>
      </c>
    </row>
    <row r="100" spans="2:3" x14ac:dyDescent="0.25">
      <c r="B100" vm="133">
        <f ca="1"/>
        <v>45386</v>
      </c>
      <c r="C100" vm="1252">
        <f ca="1"/>
        <v>679</v>
      </c>
    </row>
    <row r="101" spans="2:3" x14ac:dyDescent="0.25">
      <c r="B101" vm="135">
        <f ca="1"/>
        <v>45387</v>
      </c>
      <c r="C101" vm="1253">
        <f ca="1"/>
        <v>678.5</v>
      </c>
    </row>
    <row r="102" spans="2:3" x14ac:dyDescent="0.25">
      <c r="B102" vm="137">
        <f ca="1"/>
        <v>45390</v>
      </c>
      <c r="C102" vm="1254">
        <f ca="1"/>
        <v>682</v>
      </c>
    </row>
    <row r="103" spans="2:3" x14ac:dyDescent="0.25">
      <c r="B103" vm="139">
        <f ca="1"/>
        <v>45391</v>
      </c>
      <c r="C103" vm="1254">
        <f ca="1"/>
        <v>682</v>
      </c>
    </row>
    <row r="104" spans="2:3" x14ac:dyDescent="0.25">
      <c r="B104" vm="141">
        <f ca="1"/>
        <v>45392</v>
      </c>
      <c r="C104" vm="1255">
        <f ca="1"/>
        <v>687.5</v>
      </c>
    </row>
    <row r="105" spans="2:3" x14ac:dyDescent="0.25">
      <c r="B105" vm="143">
        <f ca="1"/>
        <v>45393</v>
      </c>
      <c r="C105" vm="1256">
        <f ca="1"/>
        <v>678</v>
      </c>
    </row>
    <row r="106" spans="2:3" x14ac:dyDescent="0.25">
      <c r="B106" vm="145">
        <f ca="1"/>
        <v>45394</v>
      </c>
      <c r="C106" vm="1257">
        <f ca="1"/>
        <v>680.5</v>
      </c>
    </row>
    <row r="107" spans="2:3" x14ac:dyDescent="0.25">
      <c r="B107" vm="147">
        <f ca="1"/>
        <v>45397</v>
      </c>
      <c r="C107" vm="1256">
        <f ca="1"/>
        <v>678</v>
      </c>
    </row>
    <row r="108" spans="2:3" x14ac:dyDescent="0.25">
      <c r="B108" vm="149">
        <f ca="1"/>
        <v>45398</v>
      </c>
      <c r="C108" vm="1258">
        <f ca="1"/>
        <v>667</v>
      </c>
    </row>
    <row r="109" spans="2:3" x14ac:dyDescent="0.25">
      <c r="B109" vm="151">
        <f ca="1"/>
        <v>45399</v>
      </c>
      <c r="C109" vm="1259">
        <f ca="1"/>
        <v>658.5</v>
      </c>
    </row>
    <row r="110" spans="2:3" x14ac:dyDescent="0.25">
      <c r="B110" vm="153">
        <f ca="1"/>
        <v>45400</v>
      </c>
      <c r="C110" vm="1260">
        <f ca="1"/>
        <v>652.5</v>
      </c>
    </row>
    <row r="111" spans="2:3" x14ac:dyDescent="0.25">
      <c r="B111" vm="155">
        <f ca="1"/>
        <v>45401</v>
      </c>
      <c r="C111" vm="1260">
        <f ca="1"/>
        <v>652.5</v>
      </c>
    </row>
    <row r="112" spans="2:3" x14ac:dyDescent="0.25">
      <c r="B112" vm="157">
        <f ca="1"/>
        <v>45404</v>
      </c>
      <c r="C112" vm="1261">
        <f ca="1"/>
        <v>655.5</v>
      </c>
    </row>
    <row r="113" spans="2:3" x14ac:dyDescent="0.25">
      <c r="B113" vm="159">
        <f ca="1"/>
        <v>45405</v>
      </c>
      <c r="C113" vm="964">
        <f ca="1"/>
        <v>662.5</v>
      </c>
    </row>
    <row r="114" spans="2:3" x14ac:dyDescent="0.25">
      <c r="B114" vm="161">
        <f ca="1"/>
        <v>45406</v>
      </c>
      <c r="C114" vm="1262">
        <f ca="1"/>
        <v>668.5</v>
      </c>
    </row>
    <row r="115" spans="2:3" x14ac:dyDescent="0.25">
      <c r="B115" vm="163">
        <f ca="1"/>
        <v>45407</v>
      </c>
      <c r="C115" vm="1263">
        <f ca="1"/>
        <v>687</v>
      </c>
    </row>
    <row r="116" spans="2:3" x14ac:dyDescent="0.25">
      <c r="B116" vm="165">
        <f ca="1"/>
        <v>45408</v>
      </c>
      <c r="C116" vm="1264">
        <f ca="1"/>
        <v>690</v>
      </c>
    </row>
    <row r="117" spans="2:3" x14ac:dyDescent="0.25">
      <c r="B117" vm="167">
        <f ca="1"/>
        <v>45411</v>
      </c>
      <c r="C117" vm="1265">
        <f ca="1"/>
        <v>694</v>
      </c>
    </row>
    <row r="118" spans="2:3" x14ac:dyDescent="0.25">
      <c r="B118" vm="169">
        <f ca="1"/>
        <v>45412</v>
      </c>
      <c r="C118" vm="1266">
        <f ca="1"/>
        <v>701.5</v>
      </c>
    </row>
    <row r="119" spans="2:3" x14ac:dyDescent="0.25">
      <c r="B119" vm="171">
        <f ca="1"/>
        <v>45414</v>
      </c>
      <c r="C119" vm="1258">
        <f ca="1"/>
        <v>667</v>
      </c>
    </row>
    <row r="120" spans="2:3" x14ac:dyDescent="0.25">
      <c r="B120" vm="173">
        <f ca="1"/>
        <v>45415</v>
      </c>
      <c r="C120" vm="1267">
        <f ca="1"/>
        <v>665</v>
      </c>
    </row>
    <row r="121" spans="2:3" x14ac:dyDescent="0.25">
      <c r="B121" vm="175">
        <f ca="1"/>
        <v>45418</v>
      </c>
      <c r="C121" vm="1268">
        <f ca="1"/>
        <v>661.5</v>
      </c>
    </row>
    <row r="122" spans="2:3" x14ac:dyDescent="0.25">
      <c r="B122" vm="177">
        <f ca="1"/>
        <v>45419</v>
      </c>
      <c r="C122" vm="967">
        <f ca="1"/>
        <v>663.5</v>
      </c>
    </row>
    <row r="123" spans="2:3" x14ac:dyDescent="0.25">
      <c r="B123" vm="179">
        <f ca="1"/>
        <v>45420</v>
      </c>
      <c r="C123" vm="1269">
        <f ca="1"/>
        <v>668</v>
      </c>
    </row>
    <row r="124" spans="2:3" x14ac:dyDescent="0.25">
      <c r="B124" vm="181">
        <f ca="1"/>
        <v>45422</v>
      </c>
      <c r="C124" vm="969">
        <f ca="1"/>
        <v>677.5</v>
      </c>
    </row>
    <row r="125" spans="2:3" x14ac:dyDescent="0.25">
      <c r="B125" vm="183">
        <f ca="1"/>
        <v>45425</v>
      </c>
      <c r="C125" vm="1256">
        <f ca="1"/>
        <v>678</v>
      </c>
    </row>
    <row r="126" spans="2:3" x14ac:dyDescent="0.25">
      <c r="B126" vm="185">
        <f ca="1"/>
        <v>45426</v>
      </c>
      <c r="C126" vm="1270">
        <f ca="1"/>
        <v>656</v>
      </c>
    </row>
    <row r="127" spans="2:3" x14ac:dyDescent="0.25">
      <c r="B127" vm="187">
        <f ca="1"/>
        <v>45427</v>
      </c>
      <c r="C127" vm="966">
        <f ca="1"/>
        <v>661</v>
      </c>
    </row>
    <row r="128" spans="2:3" x14ac:dyDescent="0.25">
      <c r="B128" vm="189">
        <f ca="1"/>
        <v>45428</v>
      </c>
      <c r="C128" vm="976">
        <f ca="1"/>
        <v>672</v>
      </c>
    </row>
    <row r="129" spans="2:3" x14ac:dyDescent="0.25">
      <c r="B129" vm="191">
        <f ca="1"/>
        <v>45433</v>
      </c>
      <c r="C129" vm="1271">
        <f ca="1"/>
        <v>667.5</v>
      </c>
    </row>
    <row r="130" spans="2:3" x14ac:dyDescent="0.25">
      <c r="B130" vm="193">
        <f ca="1"/>
        <v>45434</v>
      </c>
      <c r="C130" vm="978">
        <f ca="1"/>
        <v>663</v>
      </c>
    </row>
    <row r="131" spans="2:3" x14ac:dyDescent="0.25">
      <c r="B131" vm="195">
        <f ca="1"/>
        <v>45435</v>
      </c>
      <c r="C131" vm="966">
        <f ca="1"/>
        <v>661</v>
      </c>
    </row>
    <row r="132" spans="2:3" x14ac:dyDescent="0.25">
      <c r="B132" vm="197">
        <f ca="1"/>
        <v>45436</v>
      </c>
      <c r="C132" vm="1270">
        <f ca="1"/>
        <v>656</v>
      </c>
    </row>
    <row r="133" spans="2:3" x14ac:dyDescent="0.25">
      <c r="B133" vm="199">
        <f ca="1"/>
        <v>45439</v>
      </c>
      <c r="C133" vm="965">
        <f ca="1"/>
        <v>662</v>
      </c>
    </row>
    <row r="134" spans="2:3" x14ac:dyDescent="0.25">
      <c r="B134" vm="201">
        <f ca="1"/>
        <v>45440</v>
      </c>
      <c r="C134" vm="1270">
        <f ca="1"/>
        <v>656</v>
      </c>
    </row>
    <row r="135" spans="2:3" x14ac:dyDescent="0.25">
      <c r="B135" vm="203">
        <f ca="1"/>
        <v>45441</v>
      </c>
      <c r="C135" vm="1272">
        <f ca="1"/>
        <v>633</v>
      </c>
    </row>
    <row r="136" spans="2:3" x14ac:dyDescent="0.25">
      <c r="B136" vm="205">
        <f ca="1"/>
        <v>45442</v>
      </c>
      <c r="C136" vm="960">
        <f ca="1"/>
        <v>629</v>
      </c>
    </row>
    <row r="137" spans="2:3" x14ac:dyDescent="0.25">
      <c r="B137" vm="207">
        <f ca="1"/>
        <v>45443</v>
      </c>
      <c r="C137" vm="1273">
        <f ca="1"/>
        <v>638.5</v>
      </c>
    </row>
    <row r="138" spans="2:3" x14ac:dyDescent="0.25">
      <c r="B138" vm="209">
        <f ca="1"/>
        <v>45446</v>
      </c>
      <c r="C138" vm="1274">
        <f ca="1"/>
        <v>640.5</v>
      </c>
    </row>
    <row r="139" spans="2:3" x14ac:dyDescent="0.25">
      <c r="B139" vm="211">
        <f ca="1"/>
        <v>45447</v>
      </c>
      <c r="C139" vm="1275">
        <f ca="1"/>
        <v>625</v>
      </c>
    </row>
    <row r="140" spans="2:3" x14ac:dyDescent="0.25">
      <c r="B140" vm="213">
        <f ca="1"/>
        <v>45448</v>
      </c>
      <c r="C140" vm="1276">
        <f ca="1"/>
        <v>619.5</v>
      </c>
    </row>
    <row r="141" spans="2:3" x14ac:dyDescent="0.25">
      <c r="B141" vm="215">
        <f ca="1"/>
        <v>45449</v>
      </c>
      <c r="C141" vm="1277">
        <f ca="1"/>
        <v>626.5</v>
      </c>
    </row>
    <row r="142" spans="2:3" x14ac:dyDescent="0.25">
      <c r="B142" vm="217">
        <f ca="1"/>
        <v>45450</v>
      </c>
      <c r="C142" vm="1278">
        <f ca="1"/>
        <v>601</v>
      </c>
    </row>
    <row r="143" spans="2:3" x14ac:dyDescent="0.25">
      <c r="B143" vm="219">
        <f ca="1"/>
        <v>45453</v>
      </c>
      <c r="C143" vm="1279">
        <f ca="1"/>
        <v>593</v>
      </c>
    </row>
    <row r="144" spans="2:3" x14ac:dyDescent="0.25">
      <c r="B144" vm="221">
        <f ca="1"/>
        <v>45454</v>
      </c>
      <c r="C144" vm="1280">
        <f ca="1"/>
        <v>589</v>
      </c>
    </row>
    <row r="145" spans="2:3" x14ac:dyDescent="0.25">
      <c r="B145" vm="223">
        <f ca="1"/>
        <v>45455</v>
      </c>
      <c r="C145" vm="1215">
        <f ca="1"/>
        <v>585</v>
      </c>
    </row>
    <row r="146" spans="2:3" x14ac:dyDescent="0.25">
      <c r="B146" vm="225">
        <f ca="1"/>
        <v>45456</v>
      </c>
      <c r="C146" vm="1281">
        <f ca="1"/>
        <v>595.5</v>
      </c>
    </row>
    <row r="147" spans="2:3" x14ac:dyDescent="0.25">
      <c r="B147" vm="227">
        <f ca="1"/>
        <v>45457</v>
      </c>
      <c r="C147" vm="1282">
        <f ca="1"/>
        <v>605</v>
      </c>
    </row>
    <row r="148" spans="2:3" x14ac:dyDescent="0.25">
      <c r="B148" vm="229">
        <f ca="1"/>
        <v>45460</v>
      </c>
      <c r="C148" vm="1283">
        <f ca="1"/>
        <v>606</v>
      </c>
    </row>
    <row r="149" spans="2:3" x14ac:dyDescent="0.25">
      <c r="B149" vm="231">
        <f ca="1"/>
        <v>45461</v>
      </c>
      <c r="C149" vm="1284">
        <f ca="1"/>
        <v>607</v>
      </c>
    </row>
    <row r="150" spans="2:3" x14ac:dyDescent="0.25">
      <c r="B150" vm="233">
        <f ca="1"/>
        <v>45462</v>
      </c>
      <c r="C150" vm="1285">
        <f ca="1"/>
        <v>604</v>
      </c>
    </row>
    <row r="151" spans="2:3" x14ac:dyDescent="0.25">
      <c r="B151" vm="235">
        <f ca="1"/>
        <v>45463</v>
      </c>
      <c r="C151" vm="1285">
        <f ca="1"/>
        <v>604</v>
      </c>
    </row>
    <row r="152" spans="2:3" x14ac:dyDescent="0.25">
      <c r="B152" vm="237">
        <f ca="1"/>
        <v>45464</v>
      </c>
      <c r="C152" vm="1286">
        <f ca="1"/>
        <v>602.5</v>
      </c>
    </row>
    <row r="153" spans="2:3" x14ac:dyDescent="0.25">
      <c r="B153" vm="239">
        <f ca="1"/>
        <v>45467</v>
      </c>
      <c r="C153" vm="1278">
        <f ca="1"/>
        <v>601</v>
      </c>
    </row>
    <row r="154" spans="2:3" x14ac:dyDescent="0.25">
      <c r="B154" vm="241">
        <f ca="1"/>
        <v>45468</v>
      </c>
      <c r="C154" vm="1287">
        <f ca="1"/>
        <v>594.5</v>
      </c>
    </row>
    <row r="155" spans="2:3" x14ac:dyDescent="0.25">
      <c r="B155" vm="243">
        <f ca="1"/>
        <v>45469</v>
      </c>
      <c r="C155" vm="1221">
        <f ca="1"/>
        <v>584</v>
      </c>
    </row>
    <row r="156" spans="2:3" x14ac:dyDescent="0.25">
      <c r="B156" vm="245">
        <f ca="1"/>
        <v>45470</v>
      </c>
      <c r="C156" vm="1288">
        <f ca="1"/>
        <v>561</v>
      </c>
    </row>
    <row r="157" spans="2:3" x14ac:dyDescent="0.25">
      <c r="B157" vm="247">
        <f ca="1"/>
        <v>45471</v>
      </c>
      <c r="C157" vm="1289">
        <f ca="1"/>
        <v>562</v>
      </c>
    </row>
    <row r="158" spans="2:3" x14ac:dyDescent="0.25">
      <c r="B158" vm="249">
        <f ca="1"/>
        <v>45474</v>
      </c>
      <c r="C158" vm="1290">
        <f ca="1"/>
        <v>554</v>
      </c>
    </row>
    <row r="159" spans="2:3" x14ac:dyDescent="0.25">
      <c r="B159" vm="251">
        <f ca="1"/>
        <v>45475</v>
      </c>
      <c r="C159" vm="1291">
        <f ca="1"/>
        <v>559</v>
      </c>
    </row>
    <row r="160" spans="2:3" x14ac:dyDescent="0.25">
      <c r="B160" vm="253">
        <f ca="1"/>
        <v>45476</v>
      </c>
      <c r="C160" vm="1292">
        <f ca="1"/>
        <v>554.5</v>
      </c>
    </row>
    <row r="161" spans="2:3" x14ac:dyDescent="0.25">
      <c r="B161" vm="255">
        <f ca="1"/>
        <v>45477</v>
      </c>
      <c r="C161" vm="1293">
        <f ca="1"/>
        <v>552.5</v>
      </c>
    </row>
    <row r="162" spans="2:3" x14ac:dyDescent="0.25">
      <c r="B162" vm="257">
        <f ca="1"/>
        <v>45478</v>
      </c>
      <c r="C162" vm="1294">
        <f ca="1"/>
        <v>558</v>
      </c>
    </row>
    <row r="163" spans="2:3" x14ac:dyDescent="0.25">
      <c r="B163" vm="259">
        <f ca="1"/>
        <v>45481</v>
      </c>
      <c r="C163" vm="1295">
        <f ca="1"/>
        <v>571.5</v>
      </c>
    </row>
    <row r="164" spans="2:3" x14ac:dyDescent="0.25">
      <c r="B164" vm="261">
        <f ca="1"/>
        <v>45482</v>
      </c>
      <c r="C164" vm="1296">
        <f ca="1"/>
        <v>570.5</v>
      </c>
    </row>
    <row r="165" spans="2:3" x14ac:dyDescent="0.25">
      <c r="B165" vm="263">
        <f ca="1"/>
        <v>45483</v>
      </c>
      <c r="C165" vm="1297">
        <f ca="1"/>
        <v>567</v>
      </c>
    </row>
    <row r="166" spans="2:3" x14ac:dyDescent="0.25">
      <c r="B166" vm="265">
        <f ca="1"/>
        <v>45484</v>
      </c>
      <c r="C166" vm="1298">
        <f ca="1"/>
        <v>557.5</v>
      </c>
    </row>
    <row r="167" spans="2:3" x14ac:dyDescent="0.25">
      <c r="B167" vm="267">
        <f ca="1"/>
        <v>45485</v>
      </c>
      <c r="C167" vm="1299">
        <f ca="1"/>
        <v>564</v>
      </c>
    </row>
    <row r="168" spans="2:3" x14ac:dyDescent="0.25">
      <c r="B168" vm="269">
        <f ca="1"/>
        <v>45488</v>
      </c>
      <c r="C168" vm="1300">
        <f ca="1"/>
        <v>563.5</v>
      </c>
    </row>
    <row r="169" spans="2:3" x14ac:dyDescent="0.25">
      <c r="B169" vm="271">
        <f ca="1"/>
        <v>45489</v>
      </c>
      <c r="C169" vm="1301">
        <f ca="1"/>
        <v>563</v>
      </c>
    </row>
    <row r="170" spans="2:3" x14ac:dyDescent="0.25">
      <c r="B170" vm="273">
        <f ca="1"/>
        <v>45490</v>
      </c>
      <c r="C170" vm="1302">
        <f ca="1"/>
        <v>570</v>
      </c>
    </row>
    <row r="171" spans="2:3" x14ac:dyDescent="0.25">
      <c r="B171" vm="275">
        <f ca="1"/>
        <v>45491</v>
      </c>
      <c r="C171" vm="1203">
        <f ca="1"/>
        <v>577</v>
      </c>
    </row>
    <row r="172" spans="2:3" x14ac:dyDescent="0.25">
      <c r="B172" vm="277">
        <f ca="1"/>
        <v>45492</v>
      </c>
      <c r="C172" vm="1303">
        <f ca="1"/>
        <v>581.5</v>
      </c>
    </row>
    <row r="173" spans="2:3" x14ac:dyDescent="0.25">
      <c r="B173" vm="279">
        <f ca="1"/>
        <v>45495</v>
      </c>
      <c r="C173" vm="1204">
        <f ca="1"/>
        <v>583</v>
      </c>
    </row>
    <row r="174" spans="2:3" x14ac:dyDescent="0.25">
      <c r="B174" vm="281">
        <f ca="1"/>
        <v>45496</v>
      </c>
      <c r="C174" vm="1221">
        <f ca="1"/>
        <v>584</v>
      </c>
    </row>
    <row r="175" spans="2:3" x14ac:dyDescent="0.25">
      <c r="B175" vm="283">
        <f ca="1"/>
        <v>45497</v>
      </c>
      <c r="C175" vm="1304">
        <f ca="1"/>
        <v>584.5</v>
      </c>
    </row>
    <row r="176" spans="2:3" x14ac:dyDescent="0.25">
      <c r="B176" vm="285">
        <f ca="1"/>
        <v>45498</v>
      </c>
      <c r="C176" vm="1305">
        <f ca="1"/>
        <v>586.5</v>
      </c>
    </row>
    <row r="177" spans="2:3" x14ac:dyDescent="0.25">
      <c r="B177" vm="287">
        <f ca="1"/>
        <v>45499</v>
      </c>
      <c r="C177" vm="1306">
        <f ca="1"/>
        <v>591.5</v>
      </c>
    </row>
    <row r="178" spans="2:3" x14ac:dyDescent="0.25">
      <c r="B178" vm="289">
        <f ca="1"/>
        <v>45502</v>
      </c>
      <c r="C178" vm="1286">
        <f ca="1"/>
        <v>602.5</v>
      </c>
    </row>
    <row r="179" spans="2:3" x14ac:dyDescent="0.25">
      <c r="B179" vm="291">
        <f ca="1"/>
        <v>45503</v>
      </c>
      <c r="C179" vm="1307">
        <f ca="1"/>
        <v>615</v>
      </c>
    </row>
    <row r="180" spans="2:3" x14ac:dyDescent="0.25">
      <c r="B180" vm="293">
        <f ca="1"/>
        <v>45504</v>
      </c>
      <c r="C180" vm="1308">
        <f ca="1"/>
        <v>628</v>
      </c>
    </row>
    <row r="181" spans="2:3" x14ac:dyDescent="0.25">
      <c r="B181" vm="295">
        <f ca="1"/>
        <v>45505</v>
      </c>
      <c r="C181" vm="1309">
        <f ca="1"/>
        <v>623.5</v>
      </c>
    </row>
    <row r="182" spans="2:3" x14ac:dyDescent="0.25">
      <c r="B182" vm="297">
        <f ca="1"/>
        <v>45506</v>
      </c>
      <c r="C182" vm="1285">
        <f ca="1"/>
        <v>604</v>
      </c>
    </row>
    <row r="183" spans="2:3" x14ac:dyDescent="0.25">
      <c r="B183" vm="299">
        <f ca="1"/>
        <v>45509</v>
      </c>
      <c r="C183" vm="1310">
        <f ca="1"/>
        <v>577.5</v>
      </c>
    </row>
    <row r="184" spans="2:3" x14ac:dyDescent="0.25">
      <c r="B184" vm="301">
        <f ca="1"/>
        <v>45510</v>
      </c>
      <c r="C184" vm="1311">
        <f ca="1"/>
        <v>595</v>
      </c>
    </row>
    <row r="185" spans="2:3" x14ac:dyDescent="0.25">
      <c r="B185" vm="303">
        <f ca="1"/>
        <v>45511</v>
      </c>
      <c r="C185" vm="1312">
        <f ca="1"/>
        <v>612</v>
      </c>
    </row>
    <row r="186" spans="2:3" x14ac:dyDescent="0.25">
      <c r="B186" vm="305">
        <f ca="1"/>
        <v>45512</v>
      </c>
      <c r="C186" vm="1313">
        <f ca="1"/>
        <v>620</v>
      </c>
    </row>
    <row r="187" spans="2:3" x14ac:dyDescent="0.25">
      <c r="B187" vm="307">
        <f ca="1"/>
        <v>45513</v>
      </c>
      <c r="C187" vm="959">
        <f ca="1"/>
        <v>626</v>
      </c>
    </row>
    <row r="188" spans="2:3" x14ac:dyDescent="0.25">
      <c r="B188" vm="309">
        <f ca="1"/>
        <v>45516</v>
      </c>
      <c r="C188" vm="1308">
        <f ca="1"/>
        <v>628</v>
      </c>
    </row>
    <row r="189" spans="2:3" x14ac:dyDescent="0.25">
      <c r="B189" vm="311">
        <f ca="1"/>
        <v>45517</v>
      </c>
      <c r="C189" vm="1273">
        <f ca="1"/>
        <v>638.5</v>
      </c>
    </row>
    <row r="190" spans="2:3" x14ac:dyDescent="0.25">
      <c r="B190" vm="313">
        <f ca="1"/>
        <v>45518</v>
      </c>
      <c r="C190" vm="1314">
        <f ca="1"/>
        <v>641</v>
      </c>
    </row>
    <row r="191" spans="2:3" x14ac:dyDescent="0.25">
      <c r="B191" vm="315">
        <f ca="1"/>
        <v>45519</v>
      </c>
      <c r="C191" vm="1315">
        <f ca="1"/>
        <v>638</v>
      </c>
    </row>
    <row r="192" spans="2:3" x14ac:dyDescent="0.25">
      <c r="B192" vm="317">
        <f ca="1"/>
        <v>45520</v>
      </c>
      <c r="C192" vm="1316">
        <f ca="1"/>
        <v>634.5</v>
      </c>
    </row>
  </sheetData>
  <mergeCells count="4">
    <mergeCell ref="B2:C2"/>
    <mergeCell ref="B24:C24"/>
    <mergeCell ref="B33:C33"/>
    <mergeCell ref="B34:C34"/>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28D2D-074A-4BC1-B3D0-29A5D8EF9816}">
  <sheetPr codeName="Sheet20">
    <tabColor theme="9" tint="0.59999389629810485"/>
  </sheetPr>
  <dimension ref="B2:D192"/>
  <sheetViews>
    <sheetView showGridLines="0" topLeftCell="A25" workbookViewId="0">
      <selection activeCell="C26" sqref="C26"/>
    </sheetView>
  </sheetViews>
  <sheetFormatPr defaultRowHeight="15" x14ac:dyDescent="0.25"/>
  <cols>
    <col min="2" max="2" width="12.7109375" customWidth="1"/>
    <col min="3" max="3" width="16.140625" customWidth="1"/>
    <col min="4" max="4" width="10.140625" bestFit="1" customWidth="1"/>
    <col min="14" max="14" width="10.140625" bestFit="1" customWidth="1"/>
  </cols>
  <sheetData>
    <row r="2" spans="2:4" x14ac:dyDescent="0.25">
      <c r="B2" s="6" t="s">
        <v>18</v>
      </c>
      <c r="C2" s="6"/>
      <c r="D2" s="3"/>
    </row>
    <row r="24" spans="2:4" x14ac:dyDescent="0.25">
      <c r="B24" s="6" t="s">
        <v>19</v>
      </c>
      <c r="C24" s="6"/>
      <c r="D24" s="3"/>
    </row>
    <row r="25" spans="2:4" x14ac:dyDescent="0.25">
      <c r="B25" s="5" t="s">
        <v>20</v>
      </c>
      <c r="C25" s="4" t="s">
        <v>21</v>
      </c>
    </row>
    <row r="26" spans="2:4" x14ac:dyDescent="0.25">
      <c r="B26" s="5" t="s">
        <v>22</v>
      </c>
      <c r="C26" s="4" t="s">
        <v>23</v>
      </c>
    </row>
    <row r="27" spans="2:4" x14ac:dyDescent="0.25">
      <c r="B27" t="s">
        <v>2</v>
      </c>
      <c r="C27" t="e" vm="1317">
        <v>#VALUE!</v>
      </c>
    </row>
    <row r="33" spans="2:3" x14ac:dyDescent="0.25">
      <c r="B33" s="6" t="s">
        <v>28</v>
      </c>
      <c r="C33" s="6"/>
    </row>
    <row r="34" spans="2:3" x14ac:dyDescent="0.25">
      <c r="B34" s="8" t="s">
        <v>29</v>
      </c>
      <c r="C34" s="8"/>
    </row>
    <row r="35" spans="2:3" x14ac:dyDescent="0.25">
      <c r="B35" cm="1" vm="2">
        <f t="array" aca="1" ref="B35:C192" ca="1">_xlfn.STOCKHISTORY(C27,DATE(2023,12,29),TODAY(),0,0,0,1)</f>
        <v>45289</v>
      </c>
      <c r="C35" vm="1318">
        <f ca="1"/>
        <v>70.2</v>
      </c>
    </row>
    <row r="36" spans="2:3" x14ac:dyDescent="0.25">
      <c r="B36" vm="4">
        <f ca="1"/>
        <v>45293</v>
      </c>
      <c r="C36" vm="1319">
        <f ca="1"/>
        <v>71.849999999999994</v>
      </c>
    </row>
    <row r="37" spans="2:3" x14ac:dyDescent="0.25">
      <c r="B37" vm="7">
        <f ca="1"/>
        <v>45294</v>
      </c>
      <c r="C37" vm="1122">
        <f ca="1"/>
        <v>72.099999999999994</v>
      </c>
    </row>
    <row r="38" spans="2:3" x14ac:dyDescent="0.25">
      <c r="B38" vm="9">
        <f ca="1"/>
        <v>45295</v>
      </c>
      <c r="C38" vm="1091">
        <f ca="1"/>
        <v>73.650000000000006</v>
      </c>
    </row>
    <row r="39" spans="2:3" x14ac:dyDescent="0.25">
      <c r="B39" vm="11">
        <f ca="1"/>
        <v>45296</v>
      </c>
      <c r="C39" vm="1320">
        <f ca="1"/>
        <v>71.900000000000006</v>
      </c>
    </row>
    <row r="40" spans="2:3" x14ac:dyDescent="0.25">
      <c r="B40" vm="13">
        <f ca="1"/>
        <v>45299</v>
      </c>
      <c r="C40" vm="1321">
        <f ca="1"/>
        <v>70.3</v>
      </c>
    </row>
    <row r="41" spans="2:3" x14ac:dyDescent="0.25">
      <c r="B41" vm="15">
        <f ca="1"/>
        <v>45300</v>
      </c>
      <c r="C41" vm="1133">
        <f ca="1"/>
        <v>70.650000000000006</v>
      </c>
    </row>
    <row r="42" spans="2:3" x14ac:dyDescent="0.25">
      <c r="B42" vm="17">
        <f ca="1"/>
        <v>45301</v>
      </c>
      <c r="C42" vm="1322">
        <f ca="1"/>
        <v>71.2</v>
      </c>
    </row>
    <row r="43" spans="2:3" x14ac:dyDescent="0.25">
      <c r="B43" vm="19">
        <f ca="1"/>
        <v>45302</v>
      </c>
      <c r="C43" vm="1323">
        <f ca="1"/>
        <v>68.3</v>
      </c>
    </row>
    <row r="44" spans="2:3" x14ac:dyDescent="0.25">
      <c r="B44" vm="21">
        <f ca="1"/>
        <v>45303</v>
      </c>
      <c r="C44" vm="1324">
        <f ca="1"/>
        <v>71.150000000000006</v>
      </c>
    </row>
    <row r="45" spans="2:3" x14ac:dyDescent="0.25">
      <c r="B45" vm="23">
        <f ca="1"/>
        <v>45306</v>
      </c>
      <c r="C45" vm="1121">
        <f ca="1"/>
        <v>71</v>
      </c>
    </row>
    <row r="46" spans="2:3" x14ac:dyDescent="0.25">
      <c r="B46" vm="25">
        <f ca="1"/>
        <v>45307</v>
      </c>
      <c r="C46" vm="1325">
        <f ca="1"/>
        <v>71.05</v>
      </c>
    </row>
    <row r="47" spans="2:3" x14ac:dyDescent="0.25">
      <c r="B47" vm="27">
        <f ca="1"/>
        <v>45308</v>
      </c>
      <c r="C47" vm="1326">
        <f ca="1"/>
        <v>72.75</v>
      </c>
    </row>
    <row r="48" spans="2:3" x14ac:dyDescent="0.25">
      <c r="B48" vm="29">
        <f ca="1"/>
        <v>45309</v>
      </c>
      <c r="C48" vm="1327">
        <f ca="1"/>
        <v>74.349999999999994</v>
      </c>
    </row>
    <row r="49" spans="2:3" x14ac:dyDescent="0.25">
      <c r="B49" vm="31">
        <f ca="1"/>
        <v>45310</v>
      </c>
      <c r="C49" vm="1328">
        <f ca="1"/>
        <v>76.349999999999994</v>
      </c>
    </row>
    <row r="50" spans="2:3" x14ac:dyDescent="0.25">
      <c r="B50" vm="33">
        <f ca="1"/>
        <v>45313</v>
      </c>
      <c r="C50" vm="1144">
        <f ca="1"/>
        <v>77.2</v>
      </c>
    </row>
    <row r="51" spans="2:3" x14ac:dyDescent="0.25">
      <c r="B51" vm="35">
        <f ca="1"/>
        <v>45314</v>
      </c>
      <c r="C51" vm="1329">
        <f ca="1"/>
        <v>76.599999999999994</v>
      </c>
    </row>
    <row r="52" spans="2:3" x14ac:dyDescent="0.25">
      <c r="B52" vm="37">
        <f ca="1"/>
        <v>45315</v>
      </c>
      <c r="C52" vm="1330">
        <f ca="1"/>
        <v>78.55</v>
      </c>
    </row>
    <row r="53" spans="2:3" x14ac:dyDescent="0.25">
      <c r="B53" vm="39">
        <f ca="1"/>
        <v>45316</v>
      </c>
      <c r="C53" vm="1331">
        <f ca="1"/>
        <v>78.25</v>
      </c>
    </row>
    <row r="54" spans="2:3" x14ac:dyDescent="0.25">
      <c r="B54" vm="41">
        <f ca="1"/>
        <v>45317</v>
      </c>
      <c r="C54" vm="1332">
        <f ca="1"/>
        <v>77.849999999999994</v>
      </c>
    </row>
    <row r="55" spans="2:3" x14ac:dyDescent="0.25">
      <c r="B55" vm="43">
        <f ca="1"/>
        <v>45320</v>
      </c>
      <c r="C55" vm="527">
        <f ca="1"/>
        <v>78</v>
      </c>
    </row>
    <row r="56" spans="2:3" x14ac:dyDescent="0.25">
      <c r="B56" vm="45">
        <f ca="1"/>
        <v>45321</v>
      </c>
      <c r="C56" vm="1333">
        <f ca="1"/>
        <v>77.349999999999994</v>
      </c>
    </row>
    <row r="57" spans="2:3" x14ac:dyDescent="0.25">
      <c r="B57" vm="47">
        <f ca="1"/>
        <v>45322</v>
      </c>
      <c r="C57" vm="503">
        <f ca="1"/>
        <v>76.8</v>
      </c>
    </row>
    <row r="58" spans="2:3" x14ac:dyDescent="0.25">
      <c r="B58" vm="49">
        <f ca="1"/>
        <v>45323</v>
      </c>
      <c r="C58" vm="1330">
        <f ca="1"/>
        <v>78.55</v>
      </c>
    </row>
    <row r="59" spans="2:3" x14ac:dyDescent="0.25">
      <c r="B59" vm="51">
        <f ca="1"/>
        <v>45324</v>
      </c>
      <c r="C59" vm="1334">
        <f ca="1"/>
        <v>75.95</v>
      </c>
    </row>
    <row r="60" spans="2:3" x14ac:dyDescent="0.25">
      <c r="B60" vm="53">
        <f ca="1"/>
        <v>45327</v>
      </c>
      <c r="C60" vm="1127">
        <f ca="1"/>
        <v>75.25</v>
      </c>
    </row>
    <row r="61" spans="2:3" x14ac:dyDescent="0.25">
      <c r="B61" vm="55">
        <f ca="1"/>
        <v>45328</v>
      </c>
      <c r="C61" vm="1148">
        <f ca="1"/>
        <v>76</v>
      </c>
    </row>
    <row r="62" spans="2:3" x14ac:dyDescent="0.25">
      <c r="B62" vm="57">
        <f ca="1"/>
        <v>45329</v>
      </c>
      <c r="C62" vm="1335">
        <f ca="1"/>
        <v>73.7</v>
      </c>
    </row>
    <row r="63" spans="2:3" x14ac:dyDescent="0.25">
      <c r="B63" vm="59">
        <f ca="1"/>
        <v>45330</v>
      </c>
      <c r="C63" vm="510">
        <f ca="1"/>
        <v>75</v>
      </c>
    </row>
    <row r="64" spans="2:3" x14ac:dyDescent="0.25">
      <c r="B64" vm="61">
        <f ca="1"/>
        <v>45331</v>
      </c>
      <c r="C64" vm="1079">
        <f ca="1"/>
        <v>74.45</v>
      </c>
    </row>
    <row r="65" spans="2:3" x14ac:dyDescent="0.25">
      <c r="B65" vm="63">
        <f ca="1"/>
        <v>45334</v>
      </c>
      <c r="C65" vm="1336">
        <f ca="1"/>
        <v>76.3</v>
      </c>
    </row>
    <row r="66" spans="2:3" x14ac:dyDescent="0.25">
      <c r="B66" vm="65">
        <f ca="1"/>
        <v>45335</v>
      </c>
      <c r="C66" vm="1337">
        <f ca="1"/>
        <v>76.849999999999994</v>
      </c>
    </row>
    <row r="67" spans="2:3" x14ac:dyDescent="0.25">
      <c r="B67" vm="67">
        <f ca="1"/>
        <v>45336</v>
      </c>
      <c r="C67" vm="1338">
        <f ca="1"/>
        <v>77.55</v>
      </c>
    </row>
    <row r="68" spans="2:3" x14ac:dyDescent="0.25">
      <c r="B68" vm="69">
        <f ca="1"/>
        <v>45337</v>
      </c>
      <c r="C68" vm="1130">
        <f ca="1"/>
        <v>76.05</v>
      </c>
    </row>
    <row r="69" spans="2:3" x14ac:dyDescent="0.25">
      <c r="B69" vm="71">
        <f ca="1"/>
        <v>45338</v>
      </c>
      <c r="C69" vm="1090">
        <f ca="1"/>
        <v>77.8</v>
      </c>
    </row>
    <row r="70" spans="2:3" x14ac:dyDescent="0.25">
      <c r="B70" vm="73">
        <f ca="1"/>
        <v>45341</v>
      </c>
      <c r="C70" vm="1333">
        <f ca="1"/>
        <v>77.349999999999994</v>
      </c>
    </row>
    <row r="71" spans="2:3" x14ac:dyDescent="0.25">
      <c r="B71" vm="75">
        <f ca="1"/>
        <v>45342</v>
      </c>
      <c r="C71" vm="1148">
        <f ca="1"/>
        <v>76</v>
      </c>
    </row>
    <row r="72" spans="2:3" x14ac:dyDescent="0.25">
      <c r="B72" vm="77">
        <f ca="1"/>
        <v>45343</v>
      </c>
      <c r="C72" vm="1339">
        <f ca="1"/>
        <v>75.75</v>
      </c>
    </row>
    <row r="73" spans="2:3" x14ac:dyDescent="0.25">
      <c r="B73" vm="79">
        <f ca="1"/>
        <v>45344</v>
      </c>
      <c r="C73" vm="512">
        <f ca="1"/>
        <v>74.3</v>
      </c>
    </row>
    <row r="74" spans="2:3" x14ac:dyDescent="0.25">
      <c r="B74" vm="81">
        <f ca="1"/>
        <v>45345</v>
      </c>
      <c r="C74" vm="1340">
        <f ca="1"/>
        <v>75.099999999999994</v>
      </c>
    </row>
    <row r="75" spans="2:3" x14ac:dyDescent="0.25">
      <c r="B75" vm="83">
        <f ca="1"/>
        <v>45348</v>
      </c>
      <c r="C75" vm="1337">
        <f ca="1"/>
        <v>76.849999999999994</v>
      </c>
    </row>
    <row r="76" spans="2:3" x14ac:dyDescent="0.25">
      <c r="B76" vm="85">
        <f ca="1"/>
        <v>45349</v>
      </c>
      <c r="C76" vm="1131">
        <f ca="1"/>
        <v>76.400000000000006</v>
      </c>
    </row>
    <row r="77" spans="2:3" x14ac:dyDescent="0.25">
      <c r="B77" vm="87">
        <f ca="1"/>
        <v>45350</v>
      </c>
      <c r="C77" vm="1341">
        <f ca="1"/>
        <v>77.75</v>
      </c>
    </row>
    <row r="78" spans="2:3" x14ac:dyDescent="0.25">
      <c r="B78" vm="89">
        <f ca="1"/>
        <v>45351</v>
      </c>
      <c r="C78" vm="1150">
        <f ca="1"/>
        <v>78.099999999999994</v>
      </c>
    </row>
    <row r="79" spans="2:3" x14ac:dyDescent="0.25">
      <c r="B79" vm="91">
        <f ca="1"/>
        <v>45352</v>
      </c>
      <c r="C79" vm="1342">
        <f ca="1"/>
        <v>78.05</v>
      </c>
    </row>
    <row r="80" spans="2:3" x14ac:dyDescent="0.25">
      <c r="B80" vm="93">
        <f ca="1"/>
        <v>45355</v>
      </c>
      <c r="C80" vm="1343">
        <f ca="1"/>
        <v>77.099999999999994</v>
      </c>
    </row>
    <row r="81" spans="2:3" x14ac:dyDescent="0.25">
      <c r="B81" vm="95">
        <f ca="1"/>
        <v>45356</v>
      </c>
      <c r="C81" vm="1344">
        <f ca="1"/>
        <v>75.05</v>
      </c>
    </row>
    <row r="82" spans="2:3" x14ac:dyDescent="0.25">
      <c r="B82" vm="97">
        <f ca="1"/>
        <v>45357</v>
      </c>
      <c r="C82" vm="1345">
        <f ca="1"/>
        <v>75.400000000000006</v>
      </c>
    </row>
    <row r="83" spans="2:3" x14ac:dyDescent="0.25">
      <c r="B83" vm="99">
        <f ca="1"/>
        <v>45358</v>
      </c>
      <c r="C83" vm="1346">
        <f ca="1"/>
        <v>76.650000000000006</v>
      </c>
    </row>
    <row r="84" spans="2:3" x14ac:dyDescent="0.25">
      <c r="B84" vm="101">
        <f ca="1"/>
        <v>45359</v>
      </c>
      <c r="C84" vm="1347">
        <f ca="1"/>
        <v>75.55</v>
      </c>
    </row>
    <row r="85" spans="2:3" x14ac:dyDescent="0.25">
      <c r="B85" vm="103">
        <f ca="1"/>
        <v>45362</v>
      </c>
      <c r="C85" vm="1348">
        <f ca="1"/>
        <v>71.650000000000006</v>
      </c>
    </row>
    <row r="86" spans="2:3" x14ac:dyDescent="0.25">
      <c r="B86" vm="105">
        <f ca="1"/>
        <v>45363</v>
      </c>
      <c r="C86" vm="1103">
        <f ca="1"/>
        <v>72.05</v>
      </c>
    </row>
    <row r="87" spans="2:3" x14ac:dyDescent="0.25">
      <c r="B87" vm="107">
        <f ca="1"/>
        <v>45364</v>
      </c>
      <c r="C87" vm="1349">
        <f ca="1"/>
        <v>76.55</v>
      </c>
    </row>
    <row r="88" spans="2:3" x14ac:dyDescent="0.25">
      <c r="B88" vm="109">
        <f ca="1"/>
        <v>45365</v>
      </c>
      <c r="C88" vm="1338">
        <f ca="1"/>
        <v>77.55</v>
      </c>
    </row>
    <row r="89" spans="2:3" x14ac:dyDescent="0.25">
      <c r="B89" vm="111">
        <f ca="1"/>
        <v>45366</v>
      </c>
      <c r="C89" vm="1350">
        <f ca="1"/>
        <v>77.599999999999994</v>
      </c>
    </row>
    <row r="90" spans="2:3" x14ac:dyDescent="0.25">
      <c r="B90" vm="113">
        <f ca="1"/>
        <v>45369</v>
      </c>
      <c r="C90" vm="1328">
        <f ca="1"/>
        <v>76.349999999999994</v>
      </c>
    </row>
    <row r="91" spans="2:3" x14ac:dyDescent="0.25">
      <c r="B91" vm="115">
        <f ca="1"/>
        <v>45370</v>
      </c>
      <c r="C91" vm="1351">
        <f ca="1"/>
        <v>77.05</v>
      </c>
    </row>
    <row r="92" spans="2:3" x14ac:dyDescent="0.25">
      <c r="B92" vm="117">
        <f ca="1"/>
        <v>45371</v>
      </c>
      <c r="C92" vm="1352">
        <f ca="1"/>
        <v>74</v>
      </c>
    </row>
    <row r="93" spans="2:3" x14ac:dyDescent="0.25">
      <c r="B93" vm="119">
        <f ca="1"/>
        <v>45372</v>
      </c>
      <c r="C93" vm="1353">
        <f ca="1"/>
        <v>74.650000000000006</v>
      </c>
    </row>
    <row r="94" spans="2:3" x14ac:dyDescent="0.25">
      <c r="B94" vm="121">
        <f ca="1"/>
        <v>45373</v>
      </c>
      <c r="C94" vm="1354">
        <f ca="1"/>
        <v>74.55</v>
      </c>
    </row>
    <row r="95" spans="2:3" x14ac:dyDescent="0.25">
      <c r="B95" vm="123">
        <f ca="1"/>
        <v>45376</v>
      </c>
      <c r="C95" vm="1076">
        <f ca="1"/>
        <v>75.650000000000006</v>
      </c>
    </row>
    <row r="96" spans="2:3" x14ac:dyDescent="0.25">
      <c r="B96" vm="125">
        <f ca="1"/>
        <v>45377</v>
      </c>
      <c r="C96" vm="1079">
        <f ca="1"/>
        <v>74.45</v>
      </c>
    </row>
    <row r="97" spans="2:3" x14ac:dyDescent="0.25">
      <c r="B97" vm="127">
        <f ca="1"/>
        <v>45378</v>
      </c>
      <c r="C97" vm="1353">
        <f ca="1"/>
        <v>74.650000000000006</v>
      </c>
    </row>
    <row r="98" spans="2:3" x14ac:dyDescent="0.25">
      <c r="B98" vm="129">
        <f ca="1"/>
        <v>45384</v>
      </c>
      <c r="C98" vm="1076">
        <f ca="1"/>
        <v>75.650000000000006</v>
      </c>
    </row>
    <row r="99" spans="2:3" x14ac:dyDescent="0.25">
      <c r="B99" vm="131">
        <f ca="1"/>
        <v>45385</v>
      </c>
      <c r="C99" vm="523">
        <f ca="1"/>
        <v>77.150000000000006</v>
      </c>
    </row>
    <row r="100" spans="2:3" x14ac:dyDescent="0.25">
      <c r="B100" vm="133">
        <f ca="1"/>
        <v>45386</v>
      </c>
      <c r="C100" vm="508">
        <f ca="1"/>
        <v>77</v>
      </c>
    </row>
    <row r="101" spans="2:3" x14ac:dyDescent="0.25">
      <c r="B101" vm="135">
        <f ca="1"/>
        <v>45387</v>
      </c>
      <c r="C101" t="e" vm="1355">
        <f ca="1"/>
        <v>#N/A</v>
      </c>
    </row>
    <row r="102" spans="2:3" x14ac:dyDescent="0.25">
      <c r="B102" vm="137">
        <f ca="1"/>
        <v>45390</v>
      </c>
      <c r="C102" t="e" vm="1355">
        <f ca="1"/>
        <v>#N/A</v>
      </c>
    </row>
    <row r="103" spans="2:3" x14ac:dyDescent="0.25">
      <c r="B103" vm="139">
        <f ca="1"/>
        <v>45391</v>
      </c>
      <c r="C103" vm="1356">
        <f ca="1"/>
        <v>78.7</v>
      </c>
    </row>
    <row r="104" spans="2:3" x14ac:dyDescent="0.25">
      <c r="B104" vm="141">
        <f ca="1"/>
        <v>45392</v>
      </c>
      <c r="C104" vm="1357">
        <f ca="1"/>
        <v>78.900000000000006</v>
      </c>
    </row>
    <row r="105" spans="2:3" x14ac:dyDescent="0.25">
      <c r="B105" vm="143">
        <f ca="1"/>
        <v>45393</v>
      </c>
      <c r="C105" vm="1358">
        <f ca="1"/>
        <v>80.75</v>
      </c>
    </row>
    <row r="106" spans="2:3" x14ac:dyDescent="0.25">
      <c r="B106" vm="145">
        <f ca="1"/>
        <v>45394</v>
      </c>
      <c r="C106" vm="506">
        <f ca="1"/>
        <v>81.8</v>
      </c>
    </row>
    <row r="107" spans="2:3" x14ac:dyDescent="0.25">
      <c r="B107" vm="147">
        <f ca="1"/>
        <v>45397</v>
      </c>
      <c r="C107" vm="1359">
        <f ca="1"/>
        <v>81.349999999999994</v>
      </c>
    </row>
    <row r="108" spans="2:3" x14ac:dyDescent="0.25">
      <c r="B108" vm="149">
        <f ca="1"/>
        <v>45398</v>
      </c>
      <c r="C108" vm="1360">
        <f ca="1"/>
        <v>81.099999999999994</v>
      </c>
    </row>
    <row r="109" spans="2:3" x14ac:dyDescent="0.25">
      <c r="B109" vm="151">
        <f ca="1"/>
        <v>45399</v>
      </c>
      <c r="C109" vm="1361">
        <f ca="1"/>
        <v>83.2</v>
      </c>
    </row>
    <row r="110" spans="2:3" x14ac:dyDescent="0.25">
      <c r="B110" vm="153">
        <f ca="1"/>
        <v>45400</v>
      </c>
      <c r="C110" vm="1362">
        <f ca="1"/>
        <v>80.849999999999994</v>
      </c>
    </row>
    <row r="111" spans="2:3" x14ac:dyDescent="0.25">
      <c r="B111" vm="155">
        <f ca="1"/>
        <v>45401</v>
      </c>
      <c r="C111" vm="1363">
        <f ca="1"/>
        <v>81.150000000000006</v>
      </c>
    </row>
    <row r="112" spans="2:3" x14ac:dyDescent="0.25">
      <c r="B112" vm="157">
        <f ca="1"/>
        <v>45404</v>
      </c>
      <c r="C112" vm="1362">
        <f ca="1"/>
        <v>80.849999999999994</v>
      </c>
    </row>
    <row r="113" spans="2:3" x14ac:dyDescent="0.25">
      <c r="B113" vm="159">
        <f ca="1"/>
        <v>45405</v>
      </c>
      <c r="C113" vm="1364">
        <f ca="1"/>
        <v>81.599999999999994</v>
      </c>
    </row>
    <row r="114" spans="2:3" x14ac:dyDescent="0.25">
      <c r="B114" vm="161">
        <f ca="1"/>
        <v>45406</v>
      </c>
      <c r="C114" vm="1365">
        <f ca="1"/>
        <v>82.4</v>
      </c>
    </row>
    <row r="115" spans="2:3" x14ac:dyDescent="0.25">
      <c r="B115" vm="163">
        <f ca="1"/>
        <v>45407</v>
      </c>
      <c r="C115" vm="1366">
        <f ca="1"/>
        <v>81.95</v>
      </c>
    </row>
    <row r="116" spans="2:3" x14ac:dyDescent="0.25">
      <c r="B116" vm="165">
        <f ca="1"/>
        <v>45408</v>
      </c>
      <c r="C116" vm="1367">
        <f ca="1"/>
        <v>83.85</v>
      </c>
    </row>
    <row r="117" spans="2:3" x14ac:dyDescent="0.25">
      <c r="B117" vm="167">
        <f ca="1"/>
        <v>45411</v>
      </c>
      <c r="C117" vm="1367">
        <f ca="1"/>
        <v>83.85</v>
      </c>
    </row>
    <row r="118" spans="2:3" x14ac:dyDescent="0.25">
      <c r="B118" vm="169">
        <f ca="1"/>
        <v>45412</v>
      </c>
      <c r="C118" vm="498">
        <f ca="1"/>
        <v>84.2</v>
      </c>
    </row>
    <row r="119" spans="2:3" x14ac:dyDescent="0.25">
      <c r="B119" vm="171">
        <f ca="1"/>
        <v>45414</v>
      </c>
      <c r="C119" vm="1368">
        <f ca="1"/>
        <v>84.4</v>
      </c>
    </row>
    <row r="120" spans="2:3" x14ac:dyDescent="0.25">
      <c r="B120" vm="173">
        <f ca="1"/>
        <v>45415</v>
      </c>
      <c r="C120" vm="467">
        <f ca="1"/>
        <v>84.7</v>
      </c>
    </row>
    <row r="121" spans="2:3" x14ac:dyDescent="0.25">
      <c r="B121" vm="175">
        <f ca="1"/>
        <v>45418</v>
      </c>
      <c r="C121" vm="1369">
        <f ca="1"/>
        <v>85.7</v>
      </c>
    </row>
    <row r="122" spans="2:3" x14ac:dyDescent="0.25">
      <c r="B122" vm="177">
        <f ca="1"/>
        <v>45419</v>
      </c>
      <c r="C122" vm="1370">
        <f ca="1"/>
        <v>84.75</v>
      </c>
    </row>
    <row r="123" spans="2:3" x14ac:dyDescent="0.25">
      <c r="B123" vm="179">
        <f ca="1"/>
        <v>45420</v>
      </c>
      <c r="C123" vm="1371">
        <f ca="1"/>
        <v>86.9</v>
      </c>
    </row>
    <row r="124" spans="2:3" x14ac:dyDescent="0.25">
      <c r="B124" vm="181">
        <f ca="1"/>
        <v>45422</v>
      </c>
      <c r="C124" vm="1372">
        <f ca="1"/>
        <v>88.35</v>
      </c>
    </row>
    <row r="125" spans="2:3" x14ac:dyDescent="0.25">
      <c r="B125" vm="183">
        <f ca="1"/>
        <v>45425</v>
      </c>
      <c r="C125" vm="1165">
        <f ca="1"/>
        <v>88.9</v>
      </c>
    </row>
    <row r="126" spans="2:3" x14ac:dyDescent="0.25">
      <c r="B126" vm="185">
        <f ca="1"/>
        <v>45426</v>
      </c>
      <c r="C126" vm="1373">
        <f ca="1"/>
        <v>89.75</v>
      </c>
    </row>
    <row r="127" spans="2:3" x14ac:dyDescent="0.25">
      <c r="B127" vm="187">
        <f ca="1"/>
        <v>45427</v>
      </c>
      <c r="C127" vm="489">
        <f ca="1"/>
        <v>89</v>
      </c>
    </row>
    <row r="128" spans="2:3" x14ac:dyDescent="0.25">
      <c r="B128" vm="189">
        <f ca="1"/>
        <v>45428</v>
      </c>
      <c r="C128" vm="1183">
        <f ca="1"/>
        <v>89.05</v>
      </c>
    </row>
    <row r="129" spans="2:3" x14ac:dyDescent="0.25">
      <c r="B129" vm="191">
        <f ca="1"/>
        <v>45433</v>
      </c>
      <c r="C129" vm="1374">
        <f ca="1"/>
        <v>90.45</v>
      </c>
    </row>
    <row r="130" spans="2:3" x14ac:dyDescent="0.25">
      <c r="B130" vm="193">
        <f ca="1"/>
        <v>45434</v>
      </c>
      <c r="C130" vm="1189">
        <f ca="1"/>
        <v>87.5</v>
      </c>
    </row>
    <row r="131" spans="2:3" x14ac:dyDescent="0.25">
      <c r="B131" vm="195">
        <f ca="1"/>
        <v>45435</v>
      </c>
      <c r="C131" vm="486">
        <f ca="1"/>
        <v>88.85</v>
      </c>
    </row>
    <row r="132" spans="2:3" x14ac:dyDescent="0.25">
      <c r="B132" vm="197">
        <f ca="1"/>
        <v>45436</v>
      </c>
      <c r="C132" vm="1375">
        <f ca="1"/>
        <v>89.6</v>
      </c>
    </row>
    <row r="133" spans="2:3" x14ac:dyDescent="0.25">
      <c r="B133" vm="199">
        <f ca="1"/>
        <v>45439</v>
      </c>
      <c r="C133" vm="1376">
        <f ca="1"/>
        <v>90.65</v>
      </c>
    </row>
    <row r="134" spans="2:3" x14ac:dyDescent="0.25">
      <c r="B134" vm="201">
        <f ca="1"/>
        <v>45440</v>
      </c>
      <c r="C134" vm="489">
        <f ca="1"/>
        <v>89</v>
      </c>
    </row>
    <row r="135" spans="2:3" x14ac:dyDescent="0.25">
      <c r="B135" vm="203">
        <f ca="1"/>
        <v>45441</v>
      </c>
      <c r="C135" vm="1377">
        <f ca="1"/>
        <v>89.55</v>
      </c>
    </row>
    <row r="136" spans="2:3" x14ac:dyDescent="0.25">
      <c r="B136" vm="205">
        <f ca="1"/>
        <v>45442</v>
      </c>
      <c r="C136" vm="1378">
        <f ca="1"/>
        <v>91.05</v>
      </c>
    </row>
    <row r="137" spans="2:3" x14ac:dyDescent="0.25">
      <c r="B137" vm="207">
        <f ca="1"/>
        <v>45443</v>
      </c>
      <c r="C137" vm="1379">
        <f ca="1"/>
        <v>91.95</v>
      </c>
    </row>
    <row r="138" spans="2:3" x14ac:dyDescent="0.25">
      <c r="B138" vm="209">
        <f ca="1"/>
        <v>45446</v>
      </c>
      <c r="C138" vm="1380">
        <f ca="1"/>
        <v>91.25</v>
      </c>
    </row>
    <row r="139" spans="2:3" x14ac:dyDescent="0.25">
      <c r="B139" vm="211">
        <f ca="1"/>
        <v>45447</v>
      </c>
      <c r="C139" vm="1381">
        <f ca="1"/>
        <v>89.95</v>
      </c>
    </row>
    <row r="140" spans="2:3" x14ac:dyDescent="0.25">
      <c r="B140" vm="213">
        <f ca="1"/>
        <v>45448</v>
      </c>
      <c r="C140" vm="1382">
        <f ca="1"/>
        <v>88.2</v>
      </c>
    </row>
    <row r="141" spans="2:3" x14ac:dyDescent="0.25">
      <c r="B141" vm="215">
        <f ca="1"/>
        <v>45449</v>
      </c>
      <c r="C141" vm="1383">
        <f ca="1"/>
        <v>87.55</v>
      </c>
    </row>
    <row r="142" spans="2:3" x14ac:dyDescent="0.25">
      <c r="B142" vm="217">
        <f ca="1"/>
        <v>45450</v>
      </c>
      <c r="C142" vm="1384">
        <f ca="1"/>
        <v>88.3</v>
      </c>
    </row>
    <row r="143" spans="2:3" x14ac:dyDescent="0.25">
      <c r="B143" vm="219">
        <f ca="1"/>
        <v>45453</v>
      </c>
      <c r="C143" vm="1164">
        <f ca="1"/>
        <v>88.8</v>
      </c>
    </row>
    <row r="144" spans="2:3" x14ac:dyDescent="0.25">
      <c r="B144" vm="221">
        <f ca="1"/>
        <v>45454</v>
      </c>
      <c r="C144" vm="1385">
        <f ca="1"/>
        <v>83.9</v>
      </c>
    </row>
    <row r="145" spans="2:3" x14ac:dyDescent="0.25">
      <c r="B145" vm="223">
        <f ca="1"/>
        <v>45455</v>
      </c>
      <c r="C145" vm="1386">
        <f ca="1"/>
        <v>83.25</v>
      </c>
    </row>
    <row r="146" spans="2:3" x14ac:dyDescent="0.25">
      <c r="B146" vm="225">
        <f ca="1"/>
        <v>45456</v>
      </c>
      <c r="C146" vm="543">
        <f ca="1"/>
        <v>81</v>
      </c>
    </row>
    <row r="147" spans="2:3" x14ac:dyDescent="0.25">
      <c r="B147" vm="227">
        <f ca="1"/>
        <v>45457</v>
      </c>
      <c r="C147" vm="1387">
        <f ca="1"/>
        <v>79.650000000000006</v>
      </c>
    </row>
    <row r="148" spans="2:3" x14ac:dyDescent="0.25">
      <c r="B148" vm="229">
        <f ca="1"/>
        <v>45460</v>
      </c>
      <c r="C148" vm="543">
        <f ca="1"/>
        <v>81</v>
      </c>
    </row>
    <row r="149" spans="2:3" x14ac:dyDescent="0.25">
      <c r="B149" vm="231">
        <f ca="1"/>
        <v>45461</v>
      </c>
      <c r="C149" vm="1388">
        <f ca="1"/>
        <v>81.900000000000006</v>
      </c>
    </row>
    <row r="150" spans="2:3" x14ac:dyDescent="0.25">
      <c r="B150" vm="233">
        <f ca="1"/>
        <v>45462</v>
      </c>
      <c r="C150" vm="1140">
        <f ca="1"/>
        <v>81.55</v>
      </c>
    </row>
    <row r="151" spans="2:3" x14ac:dyDescent="0.25">
      <c r="B151" vm="235">
        <f ca="1"/>
        <v>45463</v>
      </c>
      <c r="C151" vm="499">
        <f ca="1"/>
        <v>82.45</v>
      </c>
    </row>
    <row r="152" spans="2:3" x14ac:dyDescent="0.25">
      <c r="B152" vm="237">
        <f ca="1"/>
        <v>45464</v>
      </c>
      <c r="C152" vm="1389">
        <f ca="1"/>
        <v>83.15</v>
      </c>
    </row>
    <row r="153" spans="2:3" x14ac:dyDescent="0.25">
      <c r="B153" vm="239">
        <f ca="1"/>
        <v>45467</v>
      </c>
      <c r="C153" vm="467">
        <f ca="1"/>
        <v>84.7</v>
      </c>
    </row>
    <row r="154" spans="2:3" x14ac:dyDescent="0.25">
      <c r="B154" vm="241">
        <f ca="1"/>
        <v>45468</v>
      </c>
      <c r="C154" vm="1159">
        <f ca="1"/>
        <v>84</v>
      </c>
    </row>
    <row r="155" spans="2:3" x14ac:dyDescent="0.25">
      <c r="B155" vm="243">
        <f ca="1"/>
        <v>45469</v>
      </c>
      <c r="C155" vm="1383">
        <f ca="1"/>
        <v>87.55</v>
      </c>
    </row>
    <row r="156" spans="2:3" x14ac:dyDescent="0.25">
      <c r="B156" vm="245">
        <f ca="1"/>
        <v>45470</v>
      </c>
      <c r="C156" vm="1193">
        <f ca="1"/>
        <v>88</v>
      </c>
    </row>
    <row r="157" spans="2:3" x14ac:dyDescent="0.25">
      <c r="B157" vm="247">
        <f ca="1"/>
        <v>45471</v>
      </c>
      <c r="C157" vm="1390">
        <f ca="1"/>
        <v>89.7</v>
      </c>
    </row>
    <row r="158" spans="2:3" x14ac:dyDescent="0.25">
      <c r="B158" vm="249">
        <f ca="1"/>
        <v>45474</v>
      </c>
      <c r="C158" vm="1157">
        <f ca="1"/>
        <v>87</v>
      </c>
    </row>
    <row r="159" spans="2:3" x14ac:dyDescent="0.25">
      <c r="B159" vm="251">
        <f ca="1"/>
        <v>45475</v>
      </c>
      <c r="C159" vm="482">
        <f ca="1"/>
        <v>88.95</v>
      </c>
    </row>
    <row r="160" spans="2:3" x14ac:dyDescent="0.25">
      <c r="B160" vm="253">
        <f ca="1"/>
        <v>45476</v>
      </c>
      <c r="C160" vm="1189">
        <f ca="1"/>
        <v>87.5</v>
      </c>
    </row>
    <row r="161" spans="2:3" x14ac:dyDescent="0.25">
      <c r="B161" vm="255">
        <f ca="1"/>
        <v>45477</v>
      </c>
      <c r="C161" vm="1152">
        <f ca="1"/>
        <v>86.5</v>
      </c>
    </row>
    <row r="162" spans="2:3" x14ac:dyDescent="0.25">
      <c r="B162" vm="257">
        <f ca="1"/>
        <v>45478</v>
      </c>
      <c r="C162" vm="1391">
        <f ca="1"/>
        <v>85.45</v>
      </c>
    </row>
    <row r="163" spans="2:3" x14ac:dyDescent="0.25">
      <c r="B163" vm="259">
        <f ca="1"/>
        <v>45481</v>
      </c>
      <c r="C163" vm="1392">
        <f ca="1"/>
        <v>84.3</v>
      </c>
    </row>
    <row r="164" spans="2:3" x14ac:dyDescent="0.25">
      <c r="B164" vm="261">
        <f ca="1"/>
        <v>45482</v>
      </c>
      <c r="C164" vm="1161">
        <f ca="1"/>
        <v>84.85</v>
      </c>
    </row>
    <row r="165" spans="2:3" x14ac:dyDescent="0.25">
      <c r="B165" vm="263">
        <f ca="1"/>
        <v>45483</v>
      </c>
      <c r="C165" vm="1391">
        <f ca="1"/>
        <v>85.45</v>
      </c>
    </row>
    <row r="166" spans="2:3" x14ac:dyDescent="0.25">
      <c r="B166" vm="265">
        <f ca="1"/>
        <v>45484</v>
      </c>
      <c r="C166" vm="1176">
        <f ca="1"/>
        <v>83</v>
      </c>
    </row>
    <row r="167" spans="2:3" x14ac:dyDescent="0.25">
      <c r="B167" vm="267">
        <f ca="1"/>
        <v>45485</v>
      </c>
      <c r="C167" vm="479">
        <f ca="1"/>
        <v>82.25</v>
      </c>
    </row>
    <row r="168" spans="2:3" x14ac:dyDescent="0.25">
      <c r="B168" vm="269">
        <f ca="1"/>
        <v>45488</v>
      </c>
      <c r="C168" vm="1393">
        <f ca="1"/>
        <v>83.35</v>
      </c>
    </row>
    <row r="169" spans="2:3" x14ac:dyDescent="0.25">
      <c r="B169" vm="271">
        <f ca="1"/>
        <v>45489</v>
      </c>
      <c r="C169" vm="1394">
        <f ca="1"/>
        <v>83.8</v>
      </c>
    </row>
    <row r="170" spans="2:3" x14ac:dyDescent="0.25">
      <c r="B170" vm="273">
        <f ca="1"/>
        <v>45490</v>
      </c>
      <c r="C170" vm="1176">
        <f ca="1"/>
        <v>83</v>
      </c>
    </row>
    <row r="171" spans="2:3" x14ac:dyDescent="0.25">
      <c r="B171" vm="275">
        <f ca="1"/>
        <v>45491</v>
      </c>
      <c r="C171" vm="1395">
        <f ca="1"/>
        <v>83.55</v>
      </c>
    </row>
    <row r="172" spans="2:3" x14ac:dyDescent="0.25">
      <c r="B172" vm="277">
        <f ca="1"/>
        <v>45492</v>
      </c>
      <c r="C172" vm="500">
        <f ca="1"/>
        <v>83.3</v>
      </c>
    </row>
    <row r="173" spans="2:3" x14ac:dyDescent="0.25">
      <c r="B173" vm="279">
        <f ca="1"/>
        <v>45495</v>
      </c>
      <c r="C173" vm="1396">
        <f ca="1"/>
        <v>86.25</v>
      </c>
    </row>
    <row r="174" spans="2:3" x14ac:dyDescent="0.25">
      <c r="B174" vm="281">
        <f ca="1"/>
        <v>45496</v>
      </c>
      <c r="C174" vm="1163">
        <f ca="1"/>
        <v>87.2</v>
      </c>
    </row>
    <row r="175" spans="2:3" x14ac:dyDescent="0.25">
      <c r="B175" vm="283">
        <f ca="1"/>
        <v>45497</v>
      </c>
      <c r="C175" vm="1171">
        <f ca="1"/>
        <v>86.65</v>
      </c>
    </row>
    <row r="176" spans="2:3" x14ac:dyDescent="0.25">
      <c r="B176" vm="285">
        <f ca="1"/>
        <v>45498</v>
      </c>
      <c r="C176" vm="1159">
        <f ca="1"/>
        <v>84</v>
      </c>
    </row>
    <row r="177" spans="2:3" x14ac:dyDescent="0.25">
      <c r="B177" vm="287">
        <f ca="1"/>
        <v>45499</v>
      </c>
      <c r="C177" vm="1389">
        <f ca="1"/>
        <v>83.15</v>
      </c>
    </row>
    <row r="178" spans="2:3" x14ac:dyDescent="0.25">
      <c r="B178" vm="289">
        <f ca="1"/>
        <v>45502</v>
      </c>
      <c r="C178" vm="1181">
        <f ca="1"/>
        <v>86.05</v>
      </c>
    </row>
    <row r="179" spans="2:3" x14ac:dyDescent="0.25">
      <c r="B179" vm="291">
        <f ca="1"/>
        <v>45503</v>
      </c>
      <c r="C179" vm="1397">
        <f ca="1"/>
        <v>86</v>
      </c>
    </row>
    <row r="180" spans="2:3" x14ac:dyDescent="0.25">
      <c r="B180" vm="293">
        <f ca="1"/>
        <v>45504</v>
      </c>
      <c r="C180" vm="1154">
        <f ca="1"/>
        <v>86.4</v>
      </c>
    </row>
    <row r="181" spans="2:3" x14ac:dyDescent="0.25">
      <c r="B181" vm="295">
        <f ca="1"/>
        <v>45505</v>
      </c>
      <c r="C181" vm="1398">
        <f ca="1"/>
        <v>85.65</v>
      </c>
    </row>
    <row r="182" spans="2:3" x14ac:dyDescent="0.25">
      <c r="B182" vm="297">
        <f ca="1"/>
        <v>45506</v>
      </c>
      <c r="C182" vm="1399">
        <f ca="1"/>
        <v>81.3</v>
      </c>
    </row>
    <row r="183" spans="2:3" x14ac:dyDescent="0.25">
      <c r="B183" vm="299">
        <f ca="1"/>
        <v>45509</v>
      </c>
      <c r="C183" vm="1400">
        <f ca="1"/>
        <v>79.45</v>
      </c>
    </row>
    <row r="184" spans="2:3" x14ac:dyDescent="0.25">
      <c r="B184" vm="301">
        <f ca="1"/>
        <v>45510</v>
      </c>
      <c r="C184" vm="1401">
        <f ca="1"/>
        <v>80.8</v>
      </c>
    </row>
    <row r="185" spans="2:3" x14ac:dyDescent="0.25">
      <c r="B185" vm="303">
        <f ca="1"/>
        <v>45511</v>
      </c>
      <c r="C185" vm="474">
        <f ca="1"/>
        <v>82</v>
      </c>
    </row>
    <row r="186" spans="2:3" x14ac:dyDescent="0.25">
      <c r="B186" vm="305">
        <f ca="1"/>
        <v>45512</v>
      </c>
      <c r="C186" vm="1188">
        <f ca="1"/>
        <v>81.25</v>
      </c>
    </row>
    <row r="187" spans="2:3" x14ac:dyDescent="0.25">
      <c r="B187" vm="307">
        <f ca="1"/>
        <v>45513</v>
      </c>
      <c r="C187" vm="1364">
        <f ca="1"/>
        <v>81.599999999999994</v>
      </c>
    </row>
    <row r="188" spans="2:3" x14ac:dyDescent="0.25">
      <c r="B188" vm="309">
        <f ca="1"/>
        <v>45516</v>
      </c>
      <c r="C188" vm="1075">
        <f ca="1"/>
        <v>82.15</v>
      </c>
    </row>
    <row r="189" spans="2:3" x14ac:dyDescent="0.25">
      <c r="B189" vm="311">
        <f ca="1"/>
        <v>45517</v>
      </c>
      <c r="C189" vm="1402">
        <f ca="1"/>
        <v>81.45</v>
      </c>
    </row>
    <row r="190" spans="2:3" x14ac:dyDescent="0.25">
      <c r="B190" vm="313">
        <f ca="1"/>
        <v>45518</v>
      </c>
      <c r="C190" vm="1075">
        <f ca="1"/>
        <v>82.15</v>
      </c>
    </row>
    <row r="191" spans="2:3" x14ac:dyDescent="0.25">
      <c r="B191" vm="315">
        <f ca="1"/>
        <v>45519</v>
      </c>
      <c r="C191" vm="1403">
        <f ca="1"/>
        <v>82.3</v>
      </c>
    </row>
    <row r="192" spans="2:3" x14ac:dyDescent="0.25">
      <c r="B192" vm="317">
        <f ca="1"/>
        <v>45520</v>
      </c>
      <c r="C192" vm="1173">
        <f ca="1"/>
        <v>83.05</v>
      </c>
    </row>
  </sheetData>
  <mergeCells count="4">
    <mergeCell ref="B2:C2"/>
    <mergeCell ref="B24:C24"/>
    <mergeCell ref="B33:C33"/>
    <mergeCell ref="B34:C34"/>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2C6BC20-04FA-4621-BAD9-A7185B770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ModPort</vt:lpstr>
      <vt:lpstr>port_time_series</vt:lpstr>
      <vt:lpstr>NHY</vt:lpstr>
      <vt:lpstr>EQNR</vt:lpstr>
      <vt:lpstr>CRAYN</vt:lpstr>
      <vt:lpstr>DNB</vt:lpstr>
      <vt:lpstr>SVEG</vt:lpstr>
      <vt:lpstr>TGS</vt:lpstr>
      <vt:lpstr>KOG</vt:lpstr>
      <vt:lpstr>SCATC</vt:lpstr>
      <vt:lpstr>SALM</vt:lpstr>
      <vt:lpstr>HAFNI</vt:lpstr>
      <vt:lpstr>end</vt:lpstr>
      <vt:lpstr>ënd</vt:lpstr>
      <vt:lpstr>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Ulrik Larssønn Mjelde</dc:creator>
  <cp:lastModifiedBy>Ulrik Larssønn Mjelde</cp:lastModifiedBy>
  <dcterms:created xsi:type="dcterms:W3CDTF">2024-08-16T15:38:52Z</dcterms:created>
  <dcterms:modified xsi:type="dcterms:W3CDTF">2024-08-19T06:16:58Z</dcterms:modified>
</cp:coreProperties>
</file>